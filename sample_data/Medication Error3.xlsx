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V:\Tobesaved\indicators\المؤشرات في مجلس الادارة\تحليل المؤشرات\d hazimeh\"/>
    </mc:Choice>
  </mc:AlternateContent>
  <bookViews>
    <workbookView xWindow="0" yWindow="0" windowWidth="28800" windowHeight="12300"/>
  </bookViews>
  <sheets>
    <sheet name="Medication Error" sheetId="1" r:id="rId1"/>
    <sheet name="Route Of Administration" sheetId="17" r:id="rId2"/>
    <sheet name="Dosage Form" sheetId="16" r:id="rId3"/>
    <sheet name="Medication Error Cycle " sheetId="7" r:id="rId4"/>
    <sheet name="Duty" sheetId="14" r:id="rId5"/>
    <sheet name="Nursing Unit" sheetId="8" r:id="rId6"/>
    <sheet name="Job title" sheetId="9" r:id="rId7"/>
    <sheet name="Drug Class" sheetId="13" r:id="rId8"/>
    <sheet name="Sheet2" sheetId="20" r:id="rId9"/>
    <sheet name="Type of Error" sheetId="6" r:id="rId10"/>
    <sheet name="Causes Of Medication Errors" sheetId="10" r:id="rId11"/>
    <sheet name="Drug Error Category" sheetId="11" r:id="rId12"/>
    <sheet name="Way error detected" sheetId="12" r:id="rId13"/>
    <sheet name="Action taken" sheetId="18" r:id="rId14"/>
  </sheets>
  <definedNames>
    <definedName name="_xlnm._FilterDatabase" localSheetId="0" hidden="1">'Medication Error'!$A$1:$Q$39</definedName>
    <definedName name="_xlnm.Print_Titles" localSheetId="0">'Medication Error'!$1:$1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94" i="20" l="1"/>
  <c r="C95" i="20"/>
  <c r="C97" i="20"/>
  <c r="C96" i="20"/>
  <c r="C57" i="20"/>
  <c r="C61" i="20"/>
  <c r="C58" i="20"/>
  <c r="C59" i="20"/>
  <c r="C56" i="20"/>
  <c r="C62" i="20"/>
  <c r="C60" i="20"/>
  <c r="D49" i="20"/>
  <c r="D50" i="20"/>
  <c r="D52" i="20"/>
  <c r="D48" i="20"/>
  <c r="D35" i="20"/>
  <c r="D36" i="20"/>
  <c r="D34" i="20"/>
  <c r="D23" i="20" l="1"/>
  <c r="D24" i="20"/>
  <c r="D26" i="20"/>
  <c r="D27" i="20"/>
  <c r="D25" i="20"/>
  <c r="C16" i="20" l="1"/>
  <c r="C17" i="20" s="1"/>
  <c r="D2" i="20" l="1"/>
  <c r="D3" i="20"/>
  <c r="D4" i="20"/>
  <c r="D5" i="20"/>
  <c r="D6" i="20"/>
  <c r="D7" i="20"/>
  <c r="D8" i="20"/>
  <c r="D9" i="20"/>
  <c r="D10" i="20"/>
  <c r="D11" i="20"/>
  <c r="D12" i="20"/>
  <c r="D13" i="20"/>
  <c r="D14" i="20"/>
  <c r="B15" i="20"/>
  <c r="C15" i="20"/>
  <c r="D15" i="20" l="1"/>
</calcChain>
</file>

<file path=xl/sharedStrings.xml><?xml version="1.0" encoding="utf-8"?>
<sst xmlns="http://schemas.openxmlformats.org/spreadsheetml/2006/main" count="737" uniqueCount="416">
  <si>
    <t>Duty</t>
  </si>
  <si>
    <t>Way error detected</t>
  </si>
  <si>
    <t>Error Category</t>
  </si>
  <si>
    <t>ACTION TAKEN</t>
  </si>
  <si>
    <t>Drug Class</t>
  </si>
  <si>
    <t>DRUG</t>
  </si>
  <si>
    <t>Drug Shortage</t>
  </si>
  <si>
    <t>Wrong diluent</t>
  </si>
  <si>
    <t xml:space="preserve"> pregnancy/Breast Feeding</t>
  </si>
  <si>
    <t>Poor nurse's/Physician medication knowledge</t>
  </si>
  <si>
    <t>Equipment failure(IV Pump)</t>
  </si>
  <si>
    <t xml:space="preserve">Calculation error  </t>
  </si>
  <si>
    <t>Non competent Employee</t>
  </si>
  <si>
    <t>Communication(Verbal/Written)</t>
  </si>
  <si>
    <t>Memory lapse</t>
  </si>
  <si>
    <t>Causes Of Medication Errors</t>
  </si>
  <si>
    <t>wrong calculation</t>
  </si>
  <si>
    <t>Allergy to drug</t>
  </si>
  <si>
    <t>Mislabeling</t>
  </si>
  <si>
    <t>Dose adjustment/renal-hepatic</t>
  </si>
  <si>
    <t>Monitoring</t>
  </si>
  <si>
    <t>Administration</t>
  </si>
  <si>
    <t>Wrong route</t>
  </si>
  <si>
    <t>Preparation</t>
  </si>
  <si>
    <t>Transcription</t>
  </si>
  <si>
    <t>Dispensing</t>
  </si>
  <si>
    <t xml:space="preserve">Prescribing </t>
  </si>
  <si>
    <t xml:space="preserve">Medication Error Cycle </t>
  </si>
  <si>
    <t>Type of Error</t>
  </si>
  <si>
    <t>Date of event</t>
  </si>
  <si>
    <t>Diagnostic</t>
  </si>
  <si>
    <t>SV</t>
  </si>
  <si>
    <t>HD</t>
  </si>
  <si>
    <t xml:space="preserve">Patient       </t>
  </si>
  <si>
    <t>HN</t>
  </si>
  <si>
    <t xml:space="preserve">RN </t>
  </si>
  <si>
    <t>Dr.</t>
  </si>
  <si>
    <t>Dr.Resident</t>
  </si>
  <si>
    <t>Student</t>
  </si>
  <si>
    <t>Drug Error Category</t>
  </si>
  <si>
    <t>Nursing Unit</t>
  </si>
  <si>
    <t>Cause Of Error</t>
  </si>
  <si>
    <t>RN Check up</t>
  </si>
  <si>
    <r>
      <rPr>
        <sz val="16"/>
        <color theme="1"/>
        <rFont val="Frutiger LT Arabic 45 Light"/>
      </rPr>
      <t>Nurse Mid night checkup</t>
    </r>
    <r>
      <rPr>
        <b/>
        <sz val="16"/>
        <color theme="1"/>
        <rFont val="Frutiger LT Arabic 45 Light"/>
      </rPr>
      <t xml:space="preserve">  </t>
    </r>
  </si>
  <si>
    <r>
      <rPr>
        <sz val="16"/>
        <color theme="1"/>
        <rFont val="Frutiger LT Arabic 45 Light"/>
      </rPr>
      <t>Pt.'s file audit by HN</t>
    </r>
    <r>
      <rPr>
        <b/>
        <sz val="16"/>
        <color theme="1"/>
        <rFont val="Frutiger LT Arabic 45 Light"/>
      </rPr>
      <t xml:space="preserve"> </t>
    </r>
  </si>
  <si>
    <r>
      <rPr>
        <sz val="12"/>
        <color theme="1"/>
        <rFont val="Frutiger LT Arabic 45 Light"/>
      </rPr>
      <t xml:space="preserve">Anti-infective   </t>
    </r>
    <r>
      <rPr>
        <sz val="12"/>
        <color theme="1"/>
        <rFont val="Wingdings 2"/>
        <family val="1"/>
        <charset val="2"/>
      </rPr>
      <t/>
    </r>
  </si>
  <si>
    <r>
      <rPr>
        <sz val="12"/>
        <color theme="1"/>
        <rFont val="Frutiger LT Arabic 45 Light"/>
      </rPr>
      <t xml:space="preserve">Antineoplastic      </t>
    </r>
    <r>
      <rPr>
        <sz val="12"/>
        <color theme="1"/>
        <rFont val="Wingdings 2"/>
        <family val="1"/>
        <charset val="2"/>
      </rPr>
      <t/>
    </r>
  </si>
  <si>
    <r>
      <rPr>
        <sz val="12"/>
        <color theme="1"/>
        <rFont val="Frutiger LT Arabic 45 Light"/>
      </rPr>
      <t xml:space="preserve">Cardiovascular     </t>
    </r>
    <r>
      <rPr>
        <sz val="12"/>
        <color theme="1"/>
        <rFont val="Wingdings 2"/>
        <family val="1"/>
        <charset val="2"/>
      </rPr>
      <t/>
    </r>
  </si>
  <si>
    <r>
      <rPr>
        <sz val="12"/>
        <color theme="1"/>
        <rFont val="Frutiger LT Arabic 45 Light"/>
      </rPr>
      <t xml:space="preserve"> </t>
    </r>
    <r>
      <rPr>
        <sz val="12"/>
        <color theme="1"/>
        <rFont val="Frutiger LT Arabic 45 Light"/>
      </rPr>
      <t xml:space="preserve">Gastrointestinal      </t>
    </r>
    <r>
      <rPr>
        <sz val="12"/>
        <color theme="1"/>
        <rFont val="Wingdings 2"/>
        <family val="1"/>
        <charset val="2"/>
      </rPr>
      <t/>
    </r>
  </si>
  <si>
    <t>Hormone</t>
  </si>
  <si>
    <t>Electrolyte</t>
  </si>
  <si>
    <t xml:space="preserve">Optic  </t>
  </si>
  <si>
    <t xml:space="preserve">Urinary tract </t>
  </si>
  <si>
    <t xml:space="preserve">Ear, Nose, Throat   </t>
  </si>
  <si>
    <t xml:space="preserve">Blood products/Derivatives  </t>
  </si>
  <si>
    <t>Central nervous system</t>
  </si>
  <si>
    <t>Other:………</t>
  </si>
  <si>
    <t>Vitamin…………………</t>
  </si>
  <si>
    <t>CSU</t>
  </si>
  <si>
    <t>CCU</t>
  </si>
  <si>
    <t>Medical imaging</t>
  </si>
  <si>
    <t>Day (7-3 / 7-7d)</t>
  </si>
  <si>
    <t>Evening (3-11)</t>
  </si>
  <si>
    <t>Night (11-7 / 7-7N)</t>
  </si>
  <si>
    <t>D</t>
  </si>
  <si>
    <t>E</t>
  </si>
  <si>
    <t>N</t>
  </si>
  <si>
    <r>
      <rPr>
        <b/>
        <sz val="11"/>
        <color theme="1"/>
        <rFont val="Frutiger LT Arabic 45 Light"/>
      </rPr>
      <t>F</t>
    </r>
    <r>
      <rPr>
        <sz val="11"/>
        <color theme="1"/>
        <rFont val="Frutiger LT Arabic 45 Light"/>
      </rPr>
      <t>.Temporary harm requiring hospitalization</t>
    </r>
  </si>
  <si>
    <t>Clinical Pharmacist</t>
  </si>
  <si>
    <t>Pharmacist</t>
  </si>
  <si>
    <t>Alpha-blockers</t>
  </si>
  <si>
    <t>Antibacterial</t>
  </si>
  <si>
    <t>Anticoagulant</t>
  </si>
  <si>
    <t>Antifungal</t>
  </si>
  <si>
    <t>Anti-gout</t>
  </si>
  <si>
    <t>Anti-hypertensive</t>
  </si>
  <si>
    <t>Anti-vertigo</t>
  </si>
  <si>
    <t>CNS</t>
  </si>
  <si>
    <t>Corticosteroides</t>
  </si>
  <si>
    <t>Immunosuppressant</t>
  </si>
  <si>
    <t>موجودين في النموذج ( الصيدلية)</t>
  </si>
  <si>
    <t>موجودين في EXCEL ( الصيدلية)</t>
  </si>
  <si>
    <t>Dosage Form</t>
  </si>
  <si>
    <t>Oral liquid</t>
  </si>
  <si>
    <t>Capsule</t>
  </si>
  <si>
    <t>Tablet</t>
  </si>
  <si>
    <t>Gel/Paste</t>
  </si>
  <si>
    <t>Ointment</t>
  </si>
  <si>
    <t>Cream</t>
  </si>
  <si>
    <t>Drops</t>
  </si>
  <si>
    <t>Inhalation</t>
  </si>
  <si>
    <t>Aerosol</t>
  </si>
  <si>
    <t>Injectable (IV/IM/ET/SC)</t>
  </si>
  <si>
    <t>Injectable IV</t>
  </si>
  <si>
    <t>Injectable IM</t>
  </si>
  <si>
    <t>Injectable ET</t>
  </si>
  <si>
    <t>Injectable SC</t>
  </si>
  <si>
    <t>Suppository</t>
  </si>
  <si>
    <t>Route Of Administration</t>
  </si>
  <si>
    <t>Oral</t>
  </si>
  <si>
    <t>Eye/Ear/Nose</t>
  </si>
  <si>
    <t>Inhalation/Aerosol</t>
  </si>
  <si>
    <t>Topical skin/Rectal</t>
  </si>
  <si>
    <t>Type of error</t>
  </si>
  <si>
    <t>Wrong Patient</t>
  </si>
  <si>
    <t>Wrong duration</t>
  </si>
  <si>
    <t>Wrong time of administration</t>
  </si>
  <si>
    <t xml:space="preserve">Drug given without documentation </t>
  </si>
  <si>
    <t xml:space="preserve">Wrong rate of infusion </t>
  </si>
  <si>
    <t xml:space="preserve">Wrong frequency </t>
  </si>
  <si>
    <t>Deteriorated / Expired medication</t>
  </si>
  <si>
    <t>Monitoring errors - Clinical intervention or information</t>
  </si>
  <si>
    <t>Monitoring errors - Drug – drug interaction</t>
  </si>
  <si>
    <t>Monitoring errors - Drug – food interaction</t>
  </si>
  <si>
    <t>Monitoring errors - Drug- disease interaction</t>
  </si>
  <si>
    <t>Duplication</t>
  </si>
  <si>
    <t>Not ordered Drug administered</t>
  </si>
  <si>
    <t>Medication reconciliation not completed</t>
  </si>
  <si>
    <t>Clinical information missing (lab results or vital signs)</t>
  </si>
  <si>
    <t>Miscommunication of drug order (illegible, ambiguous, incomplete)</t>
  </si>
  <si>
    <t xml:space="preserve"> Look alike and sound alike medication problem</t>
  </si>
  <si>
    <t xml:space="preserve"> Drug name, label, filling and package problem</t>
  </si>
  <si>
    <t>Drug storage or delivery problem</t>
  </si>
  <si>
    <t>Drug delivery device problem</t>
  </si>
  <si>
    <t>Environmental ,staffing deficiency and workload problem</t>
  </si>
  <si>
    <t>Lack of staff education and training problem</t>
  </si>
  <si>
    <t>Patient education problem</t>
  </si>
  <si>
    <t>Medication knowledge Deficiency/Indications for medication use</t>
  </si>
  <si>
    <t>Patient knowledge Deficiency/Allergy information not available /noted</t>
  </si>
  <si>
    <t>Medication knowledge Deficiency/Available dosage forms</t>
  </si>
  <si>
    <t>Medication knowledge Deficiency/Appropriate dosing /dosing guidelines</t>
  </si>
  <si>
    <t>Medication knowledge Deficiency/Appropriate routes for administration</t>
  </si>
  <si>
    <t>Medication knowledge Deficiency/Drug compatibility</t>
  </si>
  <si>
    <t>Non adherence to policies and procedures/Use of abbreviations in medication ordering</t>
  </si>
  <si>
    <t>Non adherence to policies and procedures/Incomplete order processed</t>
  </si>
  <si>
    <t>Non adherence to policies and procedures/Drug preparation error</t>
  </si>
  <si>
    <t>Non adherence to policies and procedures/Established treatment protocol deviation</t>
  </si>
  <si>
    <t>Non adherence to policies and procedures/Established pharmacy policy deviations</t>
  </si>
  <si>
    <t xml:space="preserve">Non adherence to policies and procedures/Drug delivery problems (Dispensing delay)  </t>
  </si>
  <si>
    <t>Non adherence to policies and procedures/Non – standard dosing schedule used</t>
  </si>
  <si>
    <t>Non adherence to policies and procedures/Established nursing policy deviation</t>
  </si>
  <si>
    <t xml:space="preserve">Decimal point </t>
  </si>
  <si>
    <t>Patient knowledge Deficiency/Concomitant medication(s) not available/not noted</t>
  </si>
  <si>
    <t>Patient knowledge Deficiency/Lab values /clinical information not available/not noted</t>
  </si>
  <si>
    <t>Patient knowledge Deficiency/Concomitant condition(s) not available/not noted</t>
  </si>
  <si>
    <r>
      <t xml:space="preserve"> </t>
    </r>
    <r>
      <rPr>
        <b/>
        <sz val="11"/>
        <color theme="1"/>
        <rFont val="Frutiger LT Arabic 45 Light"/>
      </rPr>
      <t>B.</t>
    </r>
    <r>
      <rPr>
        <sz val="11"/>
        <color theme="1"/>
        <rFont val="Frutiger LT Arabic 45 Light"/>
      </rPr>
      <t xml:space="preserve"> Error occurred but did not reach the patient. (Near miss)</t>
    </r>
  </si>
  <si>
    <r>
      <rPr>
        <b/>
        <sz val="11"/>
        <color theme="1"/>
        <rFont val="Frutiger LT Arabic 45 Light"/>
      </rPr>
      <t>C</t>
    </r>
    <r>
      <rPr>
        <sz val="11"/>
        <color theme="1"/>
        <rFont val="Frutiger LT Arabic 45 Light"/>
      </rPr>
      <t>. Error occurred but did not cause harm.</t>
    </r>
  </si>
  <si>
    <r>
      <rPr>
        <b/>
        <sz val="11"/>
        <color theme="1"/>
        <rFont val="Frutiger LT Arabic 45 Light"/>
      </rPr>
      <t xml:space="preserve"> D</t>
    </r>
    <r>
      <rPr>
        <sz val="11"/>
        <color theme="1"/>
        <rFont val="Frutiger LT Arabic 45 Light"/>
      </rPr>
      <t xml:space="preserve">.Error reach the patient &amp; required monitoring </t>
    </r>
  </si>
  <si>
    <r>
      <t xml:space="preserve"> </t>
    </r>
    <r>
      <rPr>
        <b/>
        <sz val="11"/>
        <color theme="1"/>
        <rFont val="Frutiger LT Arabic 45 Light"/>
      </rPr>
      <t>E.</t>
    </r>
    <r>
      <rPr>
        <sz val="11"/>
        <color theme="1"/>
        <rFont val="Frutiger LT Arabic 45 Light"/>
      </rPr>
      <t xml:space="preserve"> Error reach the patient &amp; result in temporary harm &amp; required intervention.</t>
    </r>
  </si>
  <si>
    <r>
      <t xml:space="preserve"> </t>
    </r>
    <r>
      <rPr>
        <b/>
        <sz val="11"/>
        <color theme="1"/>
        <rFont val="Frutiger LT Arabic 45 Light"/>
      </rPr>
      <t>G</t>
    </r>
    <r>
      <rPr>
        <sz val="11"/>
        <color theme="1"/>
        <rFont val="Frutiger LT Arabic 45 Light"/>
      </rPr>
      <t xml:space="preserve">. Error reached the patient &amp; result in permanent patient harm. </t>
    </r>
  </si>
  <si>
    <r>
      <t xml:space="preserve"> </t>
    </r>
    <r>
      <rPr>
        <b/>
        <sz val="11"/>
        <color theme="1"/>
        <rFont val="Frutiger LT Arabic 45 Light"/>
      </rPr>
      <t>H</t>
    </r>
    <r>
      <rPr>
        <sz val="11"/>
        <color theme="1"/>
        <rFont val="Frutiger LT Arabic 45 Light"/>
      </rPr>
      <t xml:space="preserve">.Error reached the patient &amp; required intervention necessary to sustain life </t>
    </r>
  </si>
  <si>
    <r>
      <rPr>
        <b/>
        <sz val="11"/>
        <color theme="1"/>
        <rFont val="Frutiger LT Arabic 45 Light"/>
      </rPr>
      <t xml:space="preserve"> I</t>
    </r>
    <r>
      <rPr>
        <sz val="11"/>
        <color theme="1"/>
        <rFont val="Frutiger LT Arabic 45 Light"/>
      </rPr>
      <t xml:space="preserve"> .Error reached to the patient &amp; contributed to the patient’s death</t>
    </r>
  </si>
  <si>
    <r>
      <rPr>
        <b/>
        <sz val="11"/>
        <color theme="1"/>
        <rFont val="Frutiger LT Arabic 45 Light"/>
      </rPr>
      <t>A</t>
    </r>
    <r>
      <rPr>
        <sz val="11"/>
        <color theme="1"/>
        <rFont val="Frutiger LT Arabic 45 Light"/>
      </rPr>
      <t>.Circumstances /events with capacity to cause error.</t>
    </r>
  </si>
  <si>
    <t>Lab results were checked by Pharmacist</t>
  </si>
  <si>
    <t>Antibiogram was checked by Pharmacist</t>
  </si>
  <si>
    <r>
      <rPr>
        <sz val="16"/>
        <color theme="1"/>
        <rFont val="Frutiger LT Arabic 45 Light"/>
      </rPr>
      <t xml:space="preserve">Pharmacist checked Physician order(Request) </t>
    </r>
    <r>
      <rPr>
        <b/>
        <sz val="16"/>
        <color theme="1"/>
        <rFont val="Frutiger LT Arabic 45 Light"/>
      </rPr>
      <t xml:space="preserve">   </t>
    </r>
  </si>
  <si>
    <t>Pharmacist checked mesication request before dispensing</t>
  </si>
  <si>
    <t>Action taken</t>
  </si>
  <si>
    <t>Call physician for verification for emergency order</t>
  </si>
  <si>
    <t>Clinical intervention</t>
  </si>
  <si>
    <t>Send pharmacists note to physician for clarification</t>
  </si>
  <si>
    <t xml:space="preserve"> Discontinue one drug (improper combination)</t>
  </si>
  <si>
    <t xml:space="preserve">Stop Medication </t>
  </si>
  <si>
    <t>Administered Antidote</t>
  </si>
  <si>
    <t xml:space="preserve">Consult Dr for monitoring result not acted upon </t>
  </si>
  <si>
    <t>Change IV SET</t>
  </si>
  <si>
    <t>No action Needed</t>
  </si>
  <si>
    <t>Antidote administered</t>
  </si>
  <si>
    <t>Blood product infusion</t>
  </si>
  <si>
    <t>Oxygen administered</t>
  </si>
  <si>
    <t>Vital signs monitoring initiated  increased</t>
  </si>
  <si>
    <t>Laboratory tests performed</t>
  </si>
  <si>
    <t xml:space="preserve"> Dialysis</t>
  </si>
  <si>
    <t>CPR administered</t>
  </si>
  <si>
    <t>X-ray /MRI /other diagnostic tests performed</t>
  </si>
  <si>
    <t>Delay in diagnosis /treatment /surgery</t>
  </si>
  <si>
    <t>Airway established  / patient ventilated</t>
  </si>
  <si>
    <t>Drug therapy initiated  /changed</t>
  </si>
  <si>
    <t>Observation initiated 5increased</t>
  </si>
  <si>
    <t>Changed to correct drug  /Dose  /Frequency/Form</t>
  </si>
  <si>
    <t>Consult Dr/PH for omitted medication /Attending /Resident</t>
  </si>
  <si>
    <r>
      <t xml:space="preserve"> Job Title (</t>
    </r>
    <r>
      <rPr>
        <sz val="11"/>
        <color rgb="FFFF0000"/>
        <rFont val="Calibri"/>
        <family val="2"/>
        <scheme val="minor"/>
      </rPr>
      <t>Who Discover The error)</t>
    </r>
  </si>
  <si>
    <t>involved in error</t>
  </si>
  <si>
    <t xml:space="preserve">Wrong quantity dispensed </t>
  </si>
  <si>
    <t>Independent double check system</t>
  </si>
  <si>
    <t>C</t>
  </si>
  <si>
    <t>physician order (request)</t>
  </si>
  <si>
    <t>ITU</t>
  </si>
  <si>
    <t>OR</t>
  </si>
  <si>
    <t>Card1, P.CSU</t>
  </si>
  <si>
    <t xml:space="preserve"> Unit</t>
  </si>
  <si>
    <r>
      <t>Improper dose (over, under or extra dose)</t>
    </r>
    <r>
      <rPr>
        <sz val="11"/>
        <color rgb="FFFF0000"/>
        <rFont val="Calibri"/>
        <family val="2"/>
        <scheme val="minor"/>
      </rPr>
      <t xml:space="preserve"> </t>
    </r>
  </si>
  <si>
    <t>Wrong strength / Concentration</t>
  </si>
  <si>
    <t xml:space="preserve">Dose omission </t>
  </si>
  <si>
    <t>Wrong drug preparation /</t>
  </si>
  <si>
    <t xml:space="preserve">Wrong dosage form </t>
  </si>
  <si>
    <t xml:space="preserve">Omission error(No drug for medical condition) </t>
  </si>
  <si>
    <r>
      <t>Wrong drug /</t>
    </r>
    <r>
      <rPr>
        <sz val="11"/>
        <color rgb="FFFF0000"/>
        <rFont val="Calibri"/>
        <family val="2"/>
        <scheme val="minor"/>
      </rPr>
      <t xml:space="preserve"> </t>
    </r>
  </si>
  <si>
    <t xml:space="preserve">unclear,incomplete illegible order </t>
  </si>
  <si>
    <t xml:space="preserve">Microorganism not susceptible </t>
  </si>
  <si>
    <r>
      <t>Contraindication</t>
    </r>
    <r>
      <rPr>
        <sz val="11"/>
        <color rgb="FFFF0000"/>
        <rFont val="Calibri"/>
        <family val="2"/>
        <scheme val="minor"/>
      </rPr>
      <t xml:space="preserve"> </t>
    </r>
  </si>
  <si>
    <t xml:space="preserve">Delay in dispensing </t>
  </si>
  <si>
    <t xml:space="preserve">Administration of D/C Medication </t>
  </si>
  <si>
    <t xml:space="preserve"> Drug information missing </t>
  </si>
  <si>
    <t xml:space="preserve">Contraindicated </t>
  </si>
  <si>
    <r>
      <t xml:space="preserve">Pharmacy  </t>
    </r>
    <r>
      <rPr>
        <b/>
        <sz val="16"/>
        <color theme="1"/>
        <rFont val="Wingdings 2"/>
        <family val="1"/>
        <charset val="2"/>
      </rPr>
      <t/>
    </r>
  </si>
  <si>
    <r>
      <t xml:space="preserve">OPD </t>
    </r>
    <r>
      <rPr>
        <b/>
        <sz val="16"/>
        <color theme="1"/>
        <rFont val="Wingdings 2"/>
        <family val="1"/>
        <charset val="2"/>
      </rPr>
      <t/>
    </r>
  </si>
  <si>
    <r>
      <t xml:space="preserve">Cath Lab  </t>
    </r>
    <r>
      <rPr>
        <b/>
        <sz val="16"/>
        <color theme="1"/>
        <rFont val="Wingdings 2"/>
        <family val="1"/>
        <charset val="2"/>
      </rPr>
      <t/>
    </r>
  </si>
  <si>
    <t>ICN</t>
  </si>
  <si>
    <t>ICU</t>
  </si>
  <si>
    <t>ER</t>
  </si>
  <si>
    <t>M/S 4th E</t>
  </si>
  <si>
    <t>M/S 4th W</t>
  </si>
  <si>
    <t>M/S 4th N</t>
  </si>
  <si>
    <t>M/S new suite</t>
  </si>
  <si>
    <t>M/S suite</t>
  </si>
  <si>
    <t>M/S 3rd ext</t>
  </si>
  <si>
    <t>M/S 4th ext</t>
  </si>
  <si>
    <t>pediatric</t>
  </si>
  <si>
    <t>M/S 2nd E</t>
  </si>
  <si>
    <t>OBS/ Del</t>
  </si>
  <si>
    <t>General surgery</t>
  </si>
  <si>
    <t>ER observe</t>
  </si>
  <si>
    <t>ITCU</t>
  </si>
  <si>
    <t>M/S card3</t>
  </si>
  <si>
    <t>M/S new card</t>
  </si>
  <si>
    <t>M/S card2</t>
  </si>
  <si>
    <t>CVS</t>
  </si>
  <si>
    <t>Anesthesia/ Recovery</t>
  </si>
  <si>
    <t>B</t>
  </si>
  <si>
    <t>Name 
(staff involved in error)</t>
  </si>
  <si>
    <t>nbr of doses</t>
  </si>
  <si>
    <t xml:space="preserve"> Job Title</t>
  </si>
  <si>
    <t>RN check up</t>
  </si>
  <si>
    <t>NICU</t>
  </si>
  <si>
    <t>transcription</t>
  </si>
  <si>
    <t>dispensing</t>
  </si>
  <si>
    <t>pharmasist</t>
  </si>
  <si>
    <t>AM</t>
  </si>
  <si>
    <t>Anti-infective</t>
  </si>
  <si>
    <t>Work flow disruption</t>
  </si>
  <si>
    <t>Inappropriate dose selection</t>
  </si>
  <si>
    <t xml:space="preserve">Pharmacist checkup </t>
  </si>
  <si>
    <t>Wrong FREQUENCY</t>
  </si>
  <si>
    <t>avixam 2.5mg</t>
  </si>
  <si>
    <t>cardiac3</t>
  </si>
  <si>
    <t>vancomycine</t>
  </si>
  <si>
    <t>PROCORALAN</t>
  </si>
  <si>
    <t>ER out</t>
  </si>
  <si>
    <t>duplication</t>
  </si>
  <si>
    <t>4th ext</t>
  </si>
  <si>
    <t>wrong drug</t>
  </si>
  <si>
    <t>ampis</t>
  </si>
  <si>
    <t>New suite</t>
  </si>
  <si>
    <t>wrong dose/ D.d</t>
  </si>
  <si>
    <t>anti infective</t>
  </si>
  <si>
    <t>RN</t>
  </si>
  <si>
    <t>Marwa Kassem</t>
  </si>
  <si>
    <t>amikin</t>
  </si>
  <si>
    <t>flagyl IV</t>
  </si>
  <si>
    <t>4th W</t>
  </si>
  <si>
    <t>HN check up</t>
  </si>
  <si>
    <t>myfortic</t>
  </si>
  <si>
    <t>4th north</t>
  </si>
  <si>
    <t>eliquis</t>
  </si>
  <si>
    <t>sodium chloride 20%</t>
  </si>
  <si>
    <t>Cobal</t>
  </si>
  <si>
    <t>wrong dose/ed</t>
  </si>
  <si>
    <t>ICU ext</t>
  </si>
  <si>
    <t>RN midnight check up</t>
  </si>
  <si>
    <t>Amikin</t>
  </si>
  <si>
    <t>informing staff invovled in error</t>
  </si>
  <si>
    <t>work flow disruption</t>
  </si>
  <si>
    <t>mislabeling</t>
  </si>
  <si>
    <t>Sara Younes</t>
  </si>
  <si>
    <t>established treatment protcol deviation</t>
  </si>
  <si>
    <t>excess dose</t>
  </si>
  <si>
    <t>non competent employee</t>
  </si>
  <si>
    <t>hasan Chmaysani</t>
  </si>
  <si>
    <t>concor</t>
  </si>
  <si>
    <t>Wrong IV rate</t>
  </si>
  <si>
    <t>cardiovascular</t>
  </si>
  <si>
    <t>wrong drug*
(البرنامج الجديد)</t>
  </si>
  <si>
    <t>electrolyte</t>
  </si>
  <si>
    <t xml:space="preserve">RN checkup </t>
  </si>
  <si>
    <t>medication knowledge deficiency</t>
  </si>
  <si>
    <t>immuno suppressant</t>
  </si>
  <si>
    <t>beta-blocker</t>
  </si>
  <si>
    <t>Anti coagulant</t>
  </si>
  <si>
    <t>PPI</t>
  </si>
  <si>
    <t>Antibiotics</t>
  </si>
  <si>
    <t>vitamine b12</t>
  </si>
  <si>
    <t>RN wrote 1000mg instead of microgr.</t>
  </si>
  <si>
    <t>4th new</t>
  </si>
  <si>
    <t>Rocephine 2g</t>
  </si>
  <si>
    <t>TCU</t>
  </si>
  <si>
    <t>Rocephine 2g IV OD</t>
  </si>
  <si>
    <t>PED</t>
  </si>
  <si>
    <t>4W</t>
  </si>
  <si>
    <t>4N</t>
  </si>
  <si>
    <t>3 EXT</t>
  </si>
  <si>
    <t>4E</t>
  </si>
  <si>
    <t>Post</t>
  </si>
  <si>
    <t>Vancomycin 220 mg IV Q6h</t>
  </si>
  <si>
    <t>Vastarel 35 mg PO Q12h</t>
  </si>
  <si>
    <t>Colistin 4.5M IV Q6h</t>
  </si>
  <si>
    <t>Eliquis 2.5 mg OD</t>
  </si>
  <si>
    <t>Omnic 0.4 mg OD &amp; Prostafine 0.4mg OD</t>
  </si>
  <si>
    <t>Vancomycin 170 mg IV Q6h</t>
  </si>
  <si>
    <t>Metronidazole 750 mg IV Q8h</t>
  </si>
  <si>
    <t>Fluconazole 200 mg IV Q12h</t>
  </si>
  <si>
    <t>Risek IV 40 mg IV Q12h</t>
  </si>
  <si>
    <t>Toreda 1 mg OD &amp; Detrusitol 1 mg BID</t>
  </si>
  <si>
    <t>Valcyte 900 mg PO OD</t>
  </si>
  <si>
    <t>Augmentin 625 mg Q12h</t>
  </si>
  <si>
    <t>Ceftriaxone 270 mg IV Q24h</t>
  </si>
  <si>
    <t xml:space="preserve">Concor 5 mg AM &amp; Bisoprolol 5 mg </t>
  </si>
  <si>
    <t>Levofloxacin 0.5 g PO Q24h &amp;
Ciprofloxacin 400 mg IV Q12h</t>
  </si>
  <si>
    <t>Levofloxacin 0.5g PO Q8h</t>
  </si>
  <si>
    <t>Zaldiar 1 tab QID</t>
  </si>
  <si>
    <t>Targocid 12 mg IV Q24h</t>
  </si>
  <si>
    <t>Cardiovascular</t>
  </si>
  <si>
    <t xml:space="preserve">Anti-coagulant </t>
  </si>
  <si>
    <t>Genitourinary</t>
  </si>
  <si>
    <t xml:space="preserve">Non adherence to guidelines
</t>
  </si>
  <si>
    <t xml:space="preserve">Inappropriate dose </t>
  </si>
  <si>
    <t>Medication knowledge Deficiency</t>
  </si>
  <si>
    <t xml:space="preserve">Improper dose </t>
  </si>
  <si>
    <t>Inappropriate dose frequency</t>
  </si>
  <si>
    <t xml:space="preserve">Adverse drug reation </t>
  </si>
  <si>
    <t>Monitoring
Subtheropetic level</t>
  </si>
  <si>
    <t>The patient known to have CKD (GFR &lt; 20 mL/min). Vastarel is contraindicated in patients with severe renal impairment. Attending physician was contacted to suggest discontinuation of vastarel or to decrease the dose to max. 35 mg OD</t>
  </si>
  <si>
    <t xml:space="preserve">After contact with the resident physician the order was changed to Colistin 4.5M Q12h. </t>
  </si>
  <si>
    <t xml:space="preserve">According to medication reconciliation form, the patient was at home on eliquis 2.5 mg OD (for stroke prophylaxis with Atrial Fibrilation). Clinical pharmacist suggested to change eliqios dose on discharge to 2.5 mg Q12h. </t>
  </si>
  <si>
    <t>Tamsulosin is the active ingredient in both preparations. Pharmacist suggested to discontinue one of these medications.Omnic was discontinued</t>
  </si>
  <si>
    <t>According to a sub therapeutic vancomycin level, vancomycin dose was increased by the prescriber. However, there was no order given to measure vancomycin level after dose adjustment. Resident physician was advised to take vancomycin level before fourth dose after dose adjustment.</t>
  </si>
  <si>
    <t>Since, this dose of metronidazole is usually used in case of meningitis or intracranial abscess, ID physician was contacted to confirm the dose. The dose was changed to 500 mg IV Q8h.</t>
  </si>
  <si>
    <t>Fluconazole IV should be given once daily. The dose was changed to 200 mg IV Q24h after discussion with the ID physician.</t>
  </si>
  <si>
    <t>According to the physician the patient (8 years and about 30 kg bodyweight) was on a high dose NSAIDs and omeprazole was given as ulcer prophylaxis. The physician was advised to decrease the dose and not to exceed 40 mg/day.</t>
  </si>
  <si>
    <t xml:space="preserve">Both of these drugs consists of tolterodine as active ingredent. Toreda was discontinued. </t>
  </si>
  <si>
    <t>The pediatric dose of valcyte, in case of CMV prevention in kidney transplantation, should not exceed 20mg/kg/day., which means that the patient on a high dose (25 mg/kg). To decrease the possible risk of valcyte side-effects (eg. nephrotoxicity, bone marrow depression) CP suggested to give 900 mg OD five days/week.</t>
  </si>
  <si>
    <t>Augmentin was given for post surgical prophylaxis. This dose of augmentin (625 mg) should be taken three times per day. ID physician was contacted to suggest dose correction.</t>
  </si>
  <si>
    <t>The minimum pediatric dose of ceftriaxone (50 mg/kg/day) in a patient with a body weight of 5.7kg should be about 280 mg. After communication with the ID physician the dose was changed to 280 mg IV OD.</t>
  </si>
  <si>
    <t xml:space="preserve">Concor AM containes bisoprolol and amlodipine. Pharmacist suggested (communicated with Dr) to discontinue bisoprolol. </t>
  </si>
  <si>
    <t>Levofloxacin PO was prescribed by the attending physician on 15/09/202, while ciprofloxacin was prescribed by the ID physician without completing medication reconciliation. ID physician was contacted to discontinue levofloxacin PO.</t>
  </si>
  <si>
    <t>DR was informed that the order for levofloxacin should be changed to Levofloxacin 0.5g Po OD instead of Q8h.</t>
  </si>
  <si>
    <t>The patient known to have allergy to tramadol. Since Zaldiar tablets contain tramadol, the medication was not dispensed.</t>
  </si>
  <si>
    <t>The patient is on sub-therapeutic dose of teicoplanin. Maintenance dose of teicoplanin in neonatal population should be 8 mg/kg body weight (2.5kg). Attending physician was contacted to advise a teicoplanin dose of 20 mg IV Q24h.</t>
  </si>
  <si>
    <r>
      <t>3</t>
    </r>
    <r>
      <rPr>
        <vertAlign val="superscript"/>
        <sz val="10"/>
        <color theme="1"/>
        <rFont val="Frutiger LT Arabic 45 Light"/>
      </rPr>
      <t>rd</t>
    </r>
    <r>
      <rPr>
        <sz val="10"/>
        <color theme="1"/>
        <rFont val="Frutiger LT Arabic 45 Light"/>
      </rPr>
      <t xml:space="preserve"> EXT</t>
    </r>
  </si>
  <si>
    <t>prescribing</t>
  </si>
  <si>
    <t>wrong patient</t>
  </si>
  <si>
    <t>alpha blocker</t>
  </si>
  <si>
    <t>lenvima</t>
  </si>
  <si>
    <t>protein kinase inhibitors</t>
  </si>
  <si>
    <t>Potassium chloride 40meq</t>
  </si>
  <si>
    <t>wrong unit</t>
  </si>
  <si>
    <t>4th west</t>
  </si>
  <si>
    <t>Aspirin</t>
  </si>
  <si>
    <t>antiplatelet</t>
  </si>
  <si>
    <t>RN wrote an allergy to aspirin and prescribed aspirin for the patient. After the pharmacist called the RN, they were informed that another patient-not this one- has an allergy to aspirin.</t>
  </si>
  <si>
    <t>risek &amp; nexium</t>
  </si>
  <si>
    <t xml:space="preserve">تم إرسال حادث المريض إلى إدارة التمريض من قبل الصيدلية بتاريخ 28/11/2025 وبالتالي لم يتم متابعة الخطأ كما يجب لوضع إجراءات وقائية. </t>
  </si>
  <si>
    <t>The prescribed dose is 5mg po OD. RN in charge was informed about the transcription error.</t>
  </si>
  <si>
    <t>RN in charge was informed about the transcription error and the right drug was delivered</t>
  </si>
  <si>
    <t>informing staff invovled in error
توقيف باقي الجرعات/ إبلاغ الطبيب</t>
  </si>
  <si>
    <t>The patient was given a subtherapeutic dose of vancomycin (6 mg/kg instead of 10-15 mg/kg). Resident physician was advised to increase the dose to 350 mg Q6h.</t>
  </si>
  <si>
    <t>Remarks/ Comments</t>
  </si>
  <si>
    <t>informing staff involved in error/ practice /policy modifications 
تصحيح على الـ medication sheet</t>
  </si>
  <si>
    <t>المشكلة وضع label خطأ على الrequest</t>
  </si>
  <si>
    <t xml:space="preserve"> education/  training- 
 informing staff invovled in error- 
تصحيح على الـ medication sheet- </t>
  </si>
  <si>
    <t>The prescribed concor 2.5mg AM .</t>
  </si>
  <si>
    <t>informing staff invovled in error
عدم صرف الدواء</t>
  </si>
  <si>
    <t xml:space="preserve"> كتابة إسم دواء D/C </t>
  </si>
  <si>
    <t xml:space="preserve">informing staff invovled in error- 
تصحيح الخطأ وإرسال الدواء الصحيح- </t>
  </si>
  <si>
    <t>informing staff invovled in error- 
تصحيح الخطأ وإرسال الدواء الصحيح-</t>
  </si>
  <si>
    <t>informing staff invovled in error- 
تصحيح الخطأ وإرسال الدواء الصحيح</t>
  </si>
  <si>
    <t xml:space="preserve"> training- 
 informing staff invovled in error- 
تصحيح الخطأ وإرسال الدواء الصحيح- </t>
  </si>
  <si>
    <t xml:space="preserve">staffing- 
 informing staff invovled in error- 
تصحيح الخطأ وإرسال الدواء الصحيح- </t>
  </si>
  <si>
    <t>informing staff invovled in error/ education/ training
تصحيح الخطأ وإرسال الدواء الصحيح</t>
  </si>
  <si>
    <t>Number of doses dispensed during the first Trimester =431124</t>
  </si>
  <si>
    <t>Row Labels</t>
  </si>
  <si>
    <t>Grand Total</t>
  </si>
  <si>
    <t>dose</t>
  </si>
  <si>
    <t>ME</t>
  </si>
  <si>
    <t>الفصل</t>
  </si>
  <si>
    <t>الاول 2023</t>
  </si>
  <si>
    <t>الثاني 2023</t>
  </si>
  <si>
    <t>الثالث 2023</t>
  </si>
  <si>
    <t>الرابع 2023</t>
  </si>
  <si>
    <t>الاول 2024</t>
  </si>
  <si>
    <t>الثاني 2024</t>
  </si>
  <si>
    <t>الثالث 2024</t>
  </si>
  <si>
    <t>الرابع 2024</t>
  </si>
  <si>
    <t>الاول 2025</t>
  </si>
  <si>
    <t>الثاني 2025</t>
  </si>
  <si>
    <t>الثالث 2025</t>
  </si>
  <si>
    <t>الرابع 2022</t>
  </si>
  <si>
    <t>الثالث 2022</t>
  </si>
  <si>
    <t>nbr of me</t>
  </si>
  <si>
    <t>Sum of nbr of me</t>
  </si>
  <si>
    <t>process stage</t>
  </si>
  <si>
    <t>Day</t>
  </si>
  <si>
    <t>Evening</t>
  </si>
  <si>
    <t>Night</t>
  </si>
  <si>
    <t>physician</t>
  </si>
  <si>
    <t>Medication knowledge deficiency</t>
  </si>
  <si>
    <t>cause of error</t>
  </si>
  <si>
    <t>Established treatment protcol deviation</t>
  </si>
  <si>
    <t>Non competent employee</t>
  </si>
  <si>
    <t xml:space="preserve"> Total</t>
  </si>
  <si>
    <t>Monitoring 
Subtheropetic level</t>
  </si>
  <si>
    <t>wrong dose</t>
  </si>
  <si>
    <t xml:space="preserve"> Administration</t>
  </si>
  <si>
    <t>administration</t>
  </si>
  <si>
    <t xml:space="preserve"> administration</t>
  </si>
  <si>
    <t xml:space="preserve">transcription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</si>
</sst>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409]d\-mmm\-yy;@"/>
    <numFmt numFmtId="165" formatCode="0.0000000"/>
    <numFmt numFmtId="166" formatCode="0.000000"/>
  </numFmts>
  <fonts count="35">
    <font>
      <sz val="11"/>
      <color theme="1"/>
      <name val="Calibri"/>
      <family val="2"/>
      <charset val="17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0"/>
      <color theme="1"/>
      <name val="Frutiger LT Arabic 45 Light"/>
    </font>
    <font>
      <b/>
      <sz val="10"/>
      <color theme="1"/>
      <name val="Frutiger LT Arabic 45 Light"/>
    </font>
    <font>
      <sz val="10"/>
      <color theme="1"/>
      <name val="Calibri"/>
      <family val="2"/>
    </font>
    <font>
      <b/>
      <sz val="16"/>
      <color theme="1"/>
      <name val="Wingdings 2"/>
      <family val="1"/>
      <charset val="2"/>
    </font>
    <font>
      <sz val="16"/>
      <color theme="1"/>
      <name val="Frutiger LT Arabic 45 Light"/>
    </font>
    <font>
      <b/>
      <sz val="16"/>
      <color theme="1"/>
      <name val="Frutiger LT Arabic 45 Light"/>
    </font>
    <font>
      <sz val="11"/>
      <color theme="1"/>
      <name val="Frutiger LT Arabic 45 Light"/>
    </font>
    <font>
      <b/>
      <sz val="11"/>
      <color theme="1"/>
      <name val="Frutiger LT Arabic 45 Light"/>
    </font>
    <font>
      <sz val="12"/>
      <color theme="1"/>
      <name val="Wingdings 2"/>
      <family val="1"/>
      <charset val="2"/>
    </font>
    <font>
      <sz val="12"/>
      <color theme="1"/>
      <name val="Frutiger LT Arabic 45 Light"/>
    </font>
    <font>
      <b/>
      <sz val="11"/>
      <color theme="1"/>
      <name val="Calibri"/>
      <family val="2"/>
      <scheme val="minor"/>
    </font>
    <font>
      <b/>
      <sz val="7"/>
      <color theme="1"/>
      <name val="Frutiger LT Arabic 45 Light"/>
    </font>
    <font>
      <sz val="11"/>
      <color theme="1"/>
      <name val="Calibri Light"/>
      <family val="2"/>
      <scheme val="major"/>
    </font>
    <font>
      <sz val="12"/>
      <color theme="1"/>
      <name val="Calibri"/>
      <family val="2"/>
      <scheme val="minor"/>
    </font>
    <font>
      <sz val="11"/>
      <color rgb="FFFF0000"/>
      <name val="Calibri"/>
      <family val="2"/>
      <scheme val="minor"/>
    </font>
    <font>
      <sz val="11"/>
      <color theme="1"/>
      <name val="Calibri"/>
      <family val="2"/>
      <charset val="178"/>
      <scheme val="minor"/>
    </font>
    <font>
      <sz val="10"/>
      <name val="Frutiger LT Arabic 45 Light"/>
    </font>
    <font>
      <sz val="8"/>
      <name val="Frutiger LT Arabic 45 Light"/>
    </font>
    <font>
      <sz val="11"/>
      <name val="Calibri"/>
      <family val="2"/>
      <scheme val="minor"/>
    </font>
    <font>
      <sz val="11"/>
      <name val="Calibri"/>
      <family val="2"/>
    </font>
    <font>
      <sz val="9"/>
      <color theme="1"/>
      <name val="Frutiger LT Arabic 45 Light"/>
    </font>
    <font>
      <sz val="11"/>
      <name val="Times New Roman"/>
      <family val="1"/>
    </font>
    <font>
      <sz val="10"/>
      <color rgb="FF000000"/>
      <name val="Frutiger LT Arabic 45 Light"/>
    </font>
    <font>
      <b/>
      <u/>
      <sz val="10"/>
      <name val="Frutiger LT Arabic 45 Light"/>
    </font>
    <font>
      <vertAlign val="superscript"/>
      <sz val="10"/>
      <color theme="1"/>
      <name val="Frutiger LT Arabic 45 Light"/>
    </font>
    <font>
      <b/>
      <u/>
      <sz val="11"/>
      <color theme="1"/>
      <name val="Times New Roman"/>
      <family val="1"/>
    </font>
    <font>
      <b/>
      <sz val="11"/>
      <color theme="1"/>
      <name val="Calibri"/>
      <family val="2"/>
      <charset val="178"/>
      <scheme val="minor"/>
    </font>
    <font>
      <sz val="11"/>
      <color rgb="FFFF0000"/>
      <name val="Times New Roman"/>
      <family val="1"/>
    </font>
  </fonts>
  <fills count="11">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5" tint="0.79998168889431442"/>
        <bgColor indexed="64"/>
      </patternFill>
    </fill>
    <fill>
      <patternFill patternType="solid">
        <fgColor theme="7" tint="0.39997558519241921"/>
        <bgColor indexed="64"/>
      </patternFill>
    </fill>
    <fill>
      <patternFill patternType="solid">
        <fgColor theme="4" tint="0.79998168889431442"/>
        <bgColor theme="4" tint="0.79998168889431442"/>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theme="4" tint="0.39997558519241921"/>
      </bottom>
      <diagonal/>
    </border>
    <border>
      <left/>
      <right/>
      <top style="thin">
        <color theme="4" tint="0.39997558519241921"/>
      </top>
      <bottom/>
      <diagonal/>
    </border>
  </borders>
  <cellStyleXfs count="5">
    <xf numFmtId="0" fontId="0" fillId="0" borderId="0"/>
    <xf numFmtId="0" fontId="22" fillId="0" borderId="0"/>
    <xf numFmtId="0" fontId="2" fillId="0" borderId="0"/>
    <xf numFmtId="0" fontId="1" fillId="0" borderId="0"/>
    <xf numFmtId="9" fontId="22" fillId="0" borderId="0" applyFont="0" applyFill="0" applyBorder="0" applyAlignment="0" applyProtection="0"/>
  </cellStyleXfs>
  <cellXfs count="117">
    <xf numFmtId="0" fontId="0" fillId="0" borderId="0" xfId="0"/>
    <xf numFmtId="0" fontId="7" fillId="0" borderId="1" xfId="0" applyFont="1" applyFill="1" applyBorder="1" applyAlignment="1">
      <alignment horizontal="justify" vertical="center" wrapText="1"/>
    </xf>
    <xf numFmtId="0" fontId="0" fillId="0" borderId="1" xfId="0" applyFont="1" applyBorder="1"/>
    <xf numFmtId="0" fontId="6" fillId="2" borderId="1" xfId="0" applyFont="1" applyFill="1" applyBorder="1" applyAlignment="1">
      <alignment wrapText="1"/>
    </xf>
    <xf numFmtId="0" fontId="13" fillId="0" borderId="1" xfId="0" applyFont="1" applyBorder="1" applyAlignment="1">
      <alignment horizontal="justify" vertical="center"/>
    </xf>
    <xf numFmtId="0" fontId="13" fillId="0" borderId="1" xfId="0" applyFont="1" applyBorder="1"/>
    <xf numFmtId="0" fontId="0" fillId="2" borderId="1" xfId="0" applyFont="1" applyFill="1" applyBorder="1"/>
    <xf numFmtId="0" fontId="13" fillId="0" borderId="1" xfId="0" applyFont="1" applyBorder="1" applyAlignment="1">
      <alignment vertical="center" wrapText="1"/>
    </xf>
    <xf numFmtId="0" fontId="15" fillId="0" borderId="1" xfId="0" applyFont="1" applyBorder="1" applyAlignment="1">
      <alignment horizontal="justify" vertical="center"/>
    </xf>
    <xf numFmtId="0" fontId="16" fillId="0" borderId="1" xfId="0" applyFont="1" applyBorder="1" applyAlignment="1">
      <alignment horizontal="justify" vertical="center"/>
    </xf>
    <xf numFmtId="0" fontId="16" fillId="0" borderId="1" xfId="0" applyFont="1" applyBorder="1" applyAlignment="1">
      <alignment vertical="center"/>
    </xf>
    <xf numFmtId="0" fontId="16" fillId="0" borderId="1" xfId="0" applyFont="1" applyBorder="1"/>
    <xf numFmtId="0" fontId="18" fillId="0" borderId="0" xfId="0" applyFont="1" applyAlignment="1">
      <alignment horizontal="left" vertical="center" wrapText="1" indent="1"/>
    </xf>
    <xf numFmtId="0" fontId="8" fillId="0" borderId="0" xfId="0" applyFont="1" applyAlignment="1">
      <alignment horizontal="left" vertical="center" wrapText="1" indent="1"/>
    </xf>
    <xf numFmtId="0" fontId="14" fillId="0" borderId="1" xfId="0" applyFont="1" applyBorder="1" applyAlignment="1">
      <alignment horizontal="left" vertical="center" wrapText="1" indent="1"/>
    </xf>
    <xf numFmtId="0" fontId="13" fillId="0" borderId="1" xfId="0" applyFont="1" applyBorder="1" applyAlignment="1">
      <alignment horizontal="left" vertical="center" wrapText="1" indent="1"/>
    </xf>
    <xf numFmtId="0" fontId="17" fillId="2" borderId="1" xfId="0" applyFont="1" applyFill="1" applyBorder="1" applyAlignment="1">
      <alignment horizontal="center" vertical="center" wrapText="1"/>
    </xf>
    <xf numFmtId="0" fontId="13" fillId="0" borderId="1" xfId="0" applyFont="1" applyBorder="1" applyAlignment="1">
      <alignment vertical="center"/>
    </xf>
    <xf numFmtId="0" fontId="14" fillId="2" borderId="1" xfId="0" applyFont="1" applyFill="1" applyBorder="1" applyAlignment="1">
      <alignment vertical="center"/>
    </xf>
    <xf numFmtId="0" fontId="0" fillId="0" borderId="0" xfId="0" applyAlignment="1">
      <alignment horizontal="right"/>
    </xf>
    <xf numFmtId="0" fontId="0" fillId="0" borderId="0" xfId="0" applyAlignment="1">
      <alignment horizontal="left"/>
    </xf>
    <xf numFmtId="0" fontId="5" fillId="0" borderId="0" xfId="0" applyFont="1"/>
    <xf numFmtId="0" fontId="4" fillId="0" borderId="0" xfId="0" applyFont="1"/>
    <xf numFmtId="0" fontId="4" fillId="0" borderId="0" xfId="0" applyFont="1" applyAlignment="1">
      <alignment vertical="center"/>
    </xf>
    <xf numFmtId="0" fontId="4" fillId="0" borderId="0" xfId="0" applyFont="1" applyAlignment="1">
      <alignment horizontal="center" vertical="center" wrapText="1"/>
    </xf>
    <xf numFmtId="0" fontId="4" fillId="0" borderId="0" xfId="0" applyFont="1" applyFill="1" applyBorder="1"/>
    <xf numFmtId="0" fontId="20" fillId="0" borderId="0" xfId="0" applyFont="1"/>
    <xf numFmtId="0" fontId="4" fillId="0" borderId="0" xfId="0" applyFont="1" applyBorder="1" applyAlignment="1">
      <alignment vertical="center" wrapText="1"/>
    </xf>
    <xf numFmtId="0" fontId="13" fillId="0" borderId="2" xfId="0" applyFont="1" applyBorder="1" applyAlignment="1">
      <alignment vertical="center" wrapText="1"/>
    </xf>
    <xf numFmtId="0" fontId="4" fillId="0" borderId="0" xfId="0" applyFont="1" applyBorder="1"/>
    <xf numFmtId="0" fontId="0" fillId="0" borderId="0" xfId="0" applyAlignment="1">
      <alignment horizontal="center"/>
    </xf>
    <xf numFmtId="0" fontId="4" fillId="0" borderId="0" xfId="0" applyFont="1" applyBorder="1" applyAlignment="1">
      <alignment horizontal="justify" vertical="center" wrapText="1"/>
    </xf>
    <xf numFmtId="0" fontId="12" fillId="2" borderId="0" xfId="0" applyFont="1" applyFill="1" applyBorder="1" applyAlignment="1">
      <alignment horizontal="justify" vertical="center"/>
    </xf>
    <xf numFmtId="0" fontId="12" fillId="0" borderId="0" xfId="0" applyFont="1" applyBorder="1"/>
    <xf numFmtId="0" fontId="11" fillId="0" borderId="0" xfId="0" applyFont="1" applyBorder="1"/>
    <xf numFmtId="0" fontId="12" fillId="0" borderId="0" xfId="0" applyFont="1" applyBorder="1" applyAlignment="1">
      <alignment horizontal="justify" vertical="center"/>
    </xf>
    <xf numFmtId="0" fontId="11" fillId="0" borderId="0" xfId="0" applyFont="1" applyFill="1" applyBorder="1"/>
    <xf numFmtId="0" fontId="4" fillId="4" borderId="0" xfId="0" applyFont="1" applyFill="1"/>
    <xf numFmtId="0" fontId="0" fillId="3" borderId="0" xfId="0" applyFill="1"/>
    <xf numFmtId="0" fontId="0" fillId="0" borderId="0" xfId="0" applyAlignment="1">
      <alignment horizontal="center" vertical="center"/>
    </xf>
    <xf numFmtId="0" fontId="3" fillId="0" borderId="0" xfId="0" applyFont="1"/>
    <xf numFmtId="0" fontId="3" fillId="0" borderId="0" xfId="0" applyFont="1" applyFill="1"/>
    <xf numFmtId="0" fontId="3" fillId="0" borderId="0" xfId="0" applyFont="1" applyAlignment="1">
      <alignment vertical="center"/>
    </xf>
    <xf numFmtId="0" fontId="3" fillId="4" borderId="0" xfId="0" applyFont="1" applyFill="1"/>
    <xf numFmtId="0" fontId="3" fillId="0" borderId="0" xfId="0" applyFont="1" applyBorder="1" applyAlignment="1">
      <alignment vertical="center" wrapText="1"/>
    </xf>
    <xf numFmtId="0" fontId="3" fillId="0" borderId="0" xfId="0" applyFont="1" applyBorder="1" applyAlignment="1">
      <alignment horizontal="justify" vertical="center" wrapText="1"/>
    </xf>
    <xf numFmtId="0" fontId="13" fillId="0" borderId="1" xfId="0" applyFont="1" applyBorder="1" applyAlignment="1">
      <alignment horizontal="center" vertical="center"/>
    </xf>
    <xf numFmtId="0" fontId="14" fillId="2" borderId="1" xfId="0" applyFont="1" applyFill="1" applyBorder="1" applyAlignment="1">
      <alignment horizontal="center" vertical="center"/>
    </xf>
    <xf numFmtId="0" fontId="13" fillId="4" borderId="1" xfId="0" applyFont="1" applyFill="1" applyBorder="1" applyAlignment="1">
      <alignment horizontal="center" vertical="center"/>
    </xf>
    <xf numFmtId="0" fontId="0" fillId="0" borderId="1" xfId="0" applyBorder="1"/>
    <xf numFmtId="0" fontId="19" fillId="0" borderId="1" xfId="0" applyFont="1" applyBorder="1" applyAlignment="1">
      <alignment vertical="center"/>
    </xf>
    <xf numFmtId="0" fontId="19" fillId="0" borderId="1" xfId="0" applyFont="1" applyBorder="1"/>
    <xf numFmtId="0" fontId="5" fillId="0" borderId="1" xfId="0" applyFont="1" applyBorder="1"/>
    <xf numFmtId="0" fontId="17" fillId="0" borderId="1" xfId="0" applyFont="1" applyBorder="1"/>
    <xf numFmtId="0" fontId="6" fillId="2" borderId="1" xfId="1" applyFont="1" applyFill="1" applyBorder="1" applyAlignment="1">
      <alignment horizontal="center" vertical="center" wrapText="1" readingOrder="1"/>
    </xf>
    <xf numFmtId="0" fontId="9" fillId="2" borderId="1" xfId="1" applyFont="1" applyFill="1" applyBorder="1" applyAlignment="1">
      <alignment horizontal="center" vertical="center" wrapText="1" readingOrder="1"/>
    </xf>
    <xf numFmtId="0" fontId="6" fillId="2" borderId="1" xfId="1" applyFont="1" applyFill="1" applyBorder="1" applyAlignment="1">
      <alignment horizontal="center" vertical="center" textRotation="90" wrapText="1" readingOrder="1"/>
    </xf>
    <xf numFmtId="0" fontId="6" fillId="2" borderId="1" xfId="1" applyFont="1" applyFill="1" applyBorder="1" applyAlignment="1">
      <alignment vertical="center" textRotation="90" wrapText="1" readingOrder="1"/>
    </xf>
    <xf numFmtId="0" fontId="6" fillId="0" borderId="0" xfId="1" applyFont="1"/>
    <xf numFmtId="0" fontId="6" fillId="0" borderId="0" xfId="1" applyFont="1" applyAlignment="1">
      <alignment textRotation="90"/>
    </xf>
    <xf numFmtId="0" fontId="6" fillId="0" borderId="0" xfId="1" applyFont="1" applyAlignment="1">
      <alignment vertical="center" textRotation="90"/>
    </xf>
    <xf numFmtId="0" fontId="6" fillId="0" borderId="0" xfId="1" applyFont="1" applyAlignment="1">
      <alignment wrapText="1"/>
    </xf>
    <xf numFmtId="0" fontId="7" fillId="5" borderId="1" xfId="1" applyFont="1" applyFill="1" applyBorder="1" applyAlignment="1">
      <alignment horizontal="center" vertical="center" wrapText="1"/>
    </xf>
    <xf numFmtId="0" fontId="7" fillId="6" borderId="1" xfId="1" applyFont="1" applyFill="1" applyBorder="1" applyAlignment="1">
      <alignment horizontal="center" vertical="center" wrapText="1"/>
    </xf>
    <xf numFmtId="14" fontId="7" fillId="5" borderId="1" xfId="1" applyNumberFormat="1" applyFont="1" applyFill="1" applyBorder="1" applyAlignment="1">
      <alignment horizontal="center" vertical="center" textRotation="90" wrapText="1"/>
    </xf>
    <xf numFmtId="0" fontId="7" fillId="5" borderId="1" xfId="1" applyFont="1" applyFill="1" applyBorder="1" applyAlignment="1">
      <alignment horizontal="center" vertical="center" textRotation="90" wrapText="1"/>
    </xf>
    <xf numFmtId="0" fontId="6" fillId="5" borderId="1" xfId="1" applyFont="1" applyFill="1" applyBorder="1" applyAlignment="1">
      <alignment horizontal="center" vertical="center" wrapText="1" readingOrder="1"/>
    </xf>
    <xf numFmtId="0" fontId="1" fillId="5" borderId="1" xfId="0" applyFont="1" applyFill="1" applyBorder="1" applyAlignment="1">
      <alignment horizontal="center" vertical="center" wrapText="1"/>
    </xf>
    <xf numFmtId="0" fontId="23" fillId="5" borderId="1" xfId="1" applyFont="1" applyFill="1" applyBorder="1" applyAlignment="1">
      <alignment horizontal="center" vertical="center" wrapText="1"/>
    </xf>
    <xf numFmtId="14" fontId="23" fillId="5" borderId="1" xfId="1" applyNumberFormat="1" applyFont="1" applyFill="1" applyBorder="1" applyAlignment="1">
      <alignment horizontal="center" vertical="center" textRotation="90" wrapText="1"/>
    </xf>
    <xf numFmtId="0" fontId="23" fillId="5" borderId="1" xfId="1" applyFont="1" applyFill="1" applyBorder="1" applyAlignment="1">
      <alignment horizontal="center" vertical="center" textRotation="90" wrapText="1"/>
    </xf>
    <xf numFmtId="0" fontId="25" fillId="5" borderId="1" xfId="0" applyFont="1" applyFill="1" applyBorder="1" applyAlignment="1">
      <alignment horizontal="center" vertical="center" wrapText="1"/>
    </xf>
    <xf numFmtId="0" fontId="26" fillId="5" borderId="1" xfId="1" applyFont="1" applyFill="1" applyBorder="1" applyAlignment="1">
      <alignment horizontal="center" vertical="center" wrapText="1" readingOrder="1"/>
    </xf>
    <xf numFmtId="0" fontId="27" fillId="5" borderId="1" xfId="1" applyFont="1" applyFill="1" applyBorder="1" applyAlignment="1">
      <alignment horizontal="center" vertical="center" wrapText="1"/>
    </xf>
    <xf numFmtId="0" fontId="23" fillId="6" borderId="1" xfId="1" applyFont="1" applyFill="1" applyBorder="1" applyAlignment="1">
      <alignment horizontal="center" vertical="center" wrapText="1"/>
    </xf>
    <xf numFmtId="0" fontId="7" fillId="6" borderId="1" xfId="0" applyFont="1" applyFill="1" applyBorder="1" applyAlignment="1">
      <alignment horizontal="center" vertical="center" textRotation="90" wrapText="1"/>
    </xf>
    <xf numFmtId="0" fontId="7" fillId="6" borderId="1" xfId="1" applyFont="1" applyFill="1" applyBorder="1" applyAlignment="1">
      <alignment horizontal="center" vertical="center" wrapText="1" readingOrder="1"/>
    </xf>
    <xf numFmtId="0" fontId="7" fillId="6" borderId="1" xfId="1" applyFont="1" applyFill="1" applyBorder="1" applyAlignment="1">
      <alignment horizontal="center" vertical="center" textRotation="90" wrapText="1" readingOrder="1"/>
    </xf>
    <xf numFmtId="0" fontId="29" fillId="7"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29" fillId="6" borderId="1" xfId="0" applyFont="1" applyFill="1" applyBorder="1" applyAlignment="1">
      <alignment horizontal="center" vertical="center" wrapText="1"/>
    </xf>
    <xf numFmtId="0" fontId="23" fillId="6" borderId="1" xfId="0" applyFont="1" applyFill="1" applyBorder="1" applyAlignment="1">
      <alignment horizontal="center" vertical="center" wrapText="1"/>
    </xf>
    <xf numFmtId="0" fontId="30" fillId="6" borderId="1" xfId="0" applyFont="1" applyFill="1" applyBorder="1" applyAlignment="1">
      <alignment horizontal="center" vertical="center" wrapText="1"/>
    </xf>
    <xf numFmtId="0" fontId="23" fillId="7" borderId="1" xfId="0" applyFont="1" applyFill="1" applyBorder="1" applyAlignment="1">
      <alignment horizontal="center" vertical="center" wrapText="1"/>
    </xf>
    <xf numFmtId="0" fontId="9" fillId="2" borderId="1" xfId="1" applyFont="1" applyFill="1" applyBorder="1" applyAlignment="1">
      <alignment horizontal="center" vertical="center" textRotation="90" wrapText="1" readingOrder="1"/>
    </xf>
    <xf numFmtId="164" fontId="7" fillId="6" borderId="1" xfId="0" applyNumberFormat="1" applyFont="1" applyFill="1" applyBorder="1" applyAlignment="1">
      <alignment horizontal="center" vertical="center" textRotation="90" wrapText="1"/>
    </xf>
    <xf numFmtId="0" fontId="9" fillId="0" borderId="0" xfId="1" applyFont="1" applyAlignment="1">
      <alignment horizontal="center" vertical="center" textRotation="90"/>
    </xf>
    <xf numFmtId="0" fontId="6" fillId="0" borderId="0" xfId="1" applyFont="1" applyAlignment="1">
      <alignment horizontal="center" vertical="center"/>
    </xf>
    <xf numFmtId="0" fontId="6" fillId="6" borderId="1" xfId="1" applyFont="1" applyFill="1" applyBorder="1" applyAlignment="1">
      <alignment horizontal="center" vertical="center"/>
    </xf>
    <xf numFmtId="0" fontId="23" fillId="8" borderId="1" xfId="1" applyFont="1" applyFill="1" applyBorder="1" applyAlignment="1">
      <alignment horizontal="center" vertical="center" wrapText="1"/>
    </xf>
    <xf numFmtId="14" fontId="23" fillId="8" borderId="1" xfId="1" applyNumberFormat="1" applyFont="1" applyFill="1" applyBorder="1" applyAlignment="1">
      <alignment horizontal="center" vertical="center" textRotation="90" wrapText="1"/>
    </xf>
    <xf numFmtId="0" fontId="28" fillId="8" borderId="1" xfId="0" applyFont="1" applyFill="1" applyBorder="1" applyAlignment="1">
      <alignment horizontal="center" vertical="center" textRotation="90" wrapText="1"/>
    </xf>
    <xf numFmtId="0" fontId="23" fillId="8" borderId="1" xfId="1" applyFont="1" applyFill="1" applyBorder="1" applyAlignment="1">
      <alignment horizontal="center" vertical="center" textRotation="90" wrapText="1"/>
    </xf>
    <xf numFmtId="0" fontId="25" fillId="8" borderId="1" xfId="0" applyFont="1" applyFill="1" applyBorder="1" applyAlignment="1">
      <alignment horizontal="center" vertical="center" textRotation="90" wrapText="1"/>
    </xf>
    <xf numFmtId="0" fontId="25" fillId="8" borderId="1" xfId="0" applyFont="1" applyFill="1" applyBorder="1" applyAlignment="1">
      <alignment horizontal="center" vertical="center" wrapText="1"/>
    </xf>
    <xf numFmtId="0" fontId="26" fillId="8" borderId="1" xfId="1" applyFont="1" applyFill="1" applyBorder="1" applyAlignment="1">
      <alignment horizontal="center" vertical="center" wrapText="1" readingOrder="1"/>
    </xf>
    <xf numFmtId="0" fontId="23" fillId="9" borderId="1" xfId="1" applyFont="1" applyFill="1" applyBorder="1" applyAlignment="1">
      <alignment horizontal="center" vertical="center" wrapText="1"/>
    </xf>
    <xf numFmtId="14" fontId="7" fillId="9" borderId="1" xfId="1" applyNumberFormat="1" applyFont="1" applyFill="1" applyBorder="1" applyAlignment="1">
      <alignment horizontal="center" vertical="center" textRotation="90" wrapText="1"/>
    </xf>
    <xf numFmtId="0" fontId="7" fillId="9" borderId="1" xfId="1" applyFont="1" applyFill="1" applyBorder="1" applyAlignment="1">
      <alignment horizontal="center" vertical="center" textRotation="90" wrapText="1"/>
    </xf>
    <xf numFmtId="0" fontId="7" fillId="9" borderId="1" xfId="1" applyFont="1" applyFill="1" applyBorder="1" applyAlignment="1">
      <alignment horizontal="center" vertical="center" wrapText="1"/>
    </xf>
    <xf numFmtId="0" fontId="23" fillId="5" borderId="3" xfId="1" applyFont="1" applyFill="1" applyBorder="1" applyAlignment="1">
      <alignment horizontal="center" vertical="center" wrapText="1"/>
    </xf>
    <xf numFmtId="0" fontId="23" fillId="5" borderId="2" xfId="1" applyFont="1" applyFill="1" applyBorder="1" applyAlignment="1">
      <alignment horizontal="center" vertical="center" wrapText="1"/>
    </xf>
    <xf numFmtId="0" fontId="24" fillId="9" borderId="1" xfId="1" applyFont="1" applyFill="1" applyBorder="1" applyAlignment="1">
      <alignment horizontal="center" vertical="center" wrapText="1"/>
    </xf>
    <xf numFmtId="0" fontId="7" fillId="5" borderId="1" xfId="1" applyFont="1" applyFill="1" applyBorder="1" applyAlignment="1">
      <alignment horizontal="center" vertical="center" wrapText="1" readingOrder="2"/>
    </xf>
    <xf numFmtId="0" fontId="23" fillId="5" borderId="1" xfId="1" applyFont="1" applyFill="1" applyBorder="1" applyAlignment="1">
      <alignment horizontal="center" vertical="center" wrapText="1" readingOrder="2"/>
    </xf>
    <xf numFmtId="0" fontId="32" fillId="4" borderId="1" xfId="3" applyFont="1" applyFill="1" applyBorder="1" applyAlignment="1">
      <alignment horizontal="left" vertical="center" wrapText="1" readingOrder="1"/>
    </xf>
    <xf numFmtId="0" fontId="33" fillId="10" borderId="5" xfId="0" applyFont="1" applyFill="1" applyBorder="1" applyAlignment="1">
      <alignment horizontal="right"/>
    </xf>
    <xf numFmtId="0" fontId="0" fillId="0" borderId="0" xfId="0" applyNumberFormat="1"/>
    <xf numFmtId="0" fontId="33" fillId="10" borderId="4" xfId="0" applyFont="1" applyFill="1" applyBorder="1"/>
    <xf numFmtId="0" fontId="33" fillId="10" borderId="5" xfId="0" applyNumberFormat="1" applyFont="1" applyFill="1" applyBorder="1"/>
    <xf numFmtId="165" fontId="0" fillId="0" borderId="0" xfId="0" applyNumberFormat="1"/>
    <xf numFmtId="166" fontId="0" fillId="0" borderId="0" xfId="0" applyNumberFormat="1"/>
    <xf numFmtId="9" fontId="0" fillId="0" borderId="0" xfId="4" applyFont="1"/>
    <xf numFmtId="0" fontId="0" fillId="0" borderId="0" xfId="4" applyNumberFormat="1" applyFont="1"/>
    <xf numFmtId="0" fontId="34" fillId="0" borderId="1" xfId="0" applyFont="1" applyBorder="1" applyAlignment="1">
      <alignment vertical="top" wrapText="1"/>
    </xf>
    <xf numFmtId="0" fontId="0" fillId="0" borderId="0" xfId="0" applyAlignment="1">
      <alignment horizontal="right" wrapText="1"/>
    </xf>
    <xf numFmtId="0" fontId="0" fillId="0" borderId="0" xfId="0" applyAlignment="1">
      <alignment wrapText="1"/>
    </xf>
  </cellXfs>
  <cellStyles count="5">
    <cellStyle name="Normal" xfId="0" builtinId="0"/>
    <cellStyle name="Normal 2" xfId="1"/>
    <cellStyle name="Normal 3" xfId="2"/>
    <cellStyle name="Normal 4" xfId="3"/>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Sheet2!$A$2:$A$14</c:f>
              <c:strCache>
                <c:ptCount val="13"/>
                <c:pt idx="0">
                  <c:v>الثالث 2022</c:v>
                </c:pt>
                <c:pt idx="1">
                  <c:v>الرابع 2022</c:v>
                </c:pt>
                <c:pt idx="2">
                  <c:v>الاول 2023</c:v>
                </c:pt>
                <c:pt idx="3">
                  <c:v>الثاني 2023</c:v>
                </c:pt>
                <c:pt idx="4">
                  <c:v>الثالث 2023</c:v>
                </c:pt>
                <c:pt idx="5">
                  <c:v>الرابع 2023</c:v>
                </c:pt>
                <c:pt idx="6">
                  <c:v>الاول 2024</c:v>
                </c:pt>
                <c:pt idx="7">
                  <c:v>الثاني 2024</c:v>
                </c:pt>
                <c:pt idx="8">
                  <c:v>الثالث 2024</c:v>
                </c:pt>
                <c:pt idx="9">
                  <c:v>الرابع 2024</c:v>
                </c:pt>
                <c:pt idx="10">
                  <c:v>الاول 2025</c:v>
                </c:pt>
                <c:pt idx="11">
                  <c:v>الثاني 2025</c:v>
                </c:pt>
                <c:pt idx="12">
                  <c:v>الثالث 2025</c:v>
                </c:pt>
              </c:strCache>
            </c:strRef>
          </c:cat>
          <c:val>
            <c:numRef>
              <c:f>Sheet2!$D$2:$D$14</c:f>
              <c:numCache>
                <c:formatCode>0.0000000</c:formatCode>
                <c:ptCount val="13"/>
                <c:pt idx="0">
                  <c:v>3.9395022418610697E-4</c:v>
                </c:pt>
                <c:pt idx="1">
                  <c:v>7.0337620578778137E-4</c:v>
                </c:pt>
                <c:pt idx="2">
                  <c:v>2.8543191200134152E-4</c:v>
                </c:pt>
                <c:pt idx="3">
                  <c:v>4.378268618845861E-4</c:v>
                </c:pt>
                <c:pt idx="4">
                  <c:v>3.6373556424479402E-4</c:v>
                </c:pt>
                <c:pt idx="5">
                  <c:v>2.5367410221063629E-4</c:v>
                </c:pt>
                <c:pt idx="6">
                  <c:v>2.766491362399191E-4</c:v>
                </c:pt>
                <c:pt idx="7">
                  <c:v>2.5938224799958984E-4</c:v>
                </c:pt>
                <c:pt idx="8">
                  <c:v>1.3211486904516395E-4</c:v>
                </c:pt>
                <c:pt idx="9">
                  <c:v>2.6583448913546E-4</c:v>
                </c:pt>
                <c:pt idx="10">
                  <c:v>1.9060042110780539E-4</c:v>
                </c:pt>
                <c:pt idx="11">
                  <c:v>8.1571771505814904E-5</c:v>
                </c:pt>
                <c:pt idx="12">
                  <c:v>1.043783227099396E-4</c:v>
                </c:pt>
              </c:numCache>
            </c:numRef>
          </c:val>
          <c:smooth val="0"/>
          <c:extLst>
            <c:ext xmlns:c16="http://schemas.microsoft.com/office/drawing/2014/chart" uri="{C3380CC4-5D6E-409C-BE32-E72D297353CC}">
              <c16:uniqueId val="{00000000-9C57-4F21-B1C9-6DAE66A5D3EE}"/>
            </c:ext>
          </c:extLst>
        </c:ser>
        <c:dLbls>
          <c:showLegendKey val="0"/>
          <c:showVal val="0"/>
          <c:showCatName val="0"/>
          <c:showSerName val="0"/>
          <c:showPercent val="0"/>
          <c:showBubbleSize val="0"/>
        </c:dLbls>
        <c:marker val="1"/>
        <c:smooth val="0"/>
        <c:axId val="496829832"/>
        <c:axId val="496826552"/>
      </c:lineChart>
      <c:catAx>
        <c:axId val="49682983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96826552"/>
        <c:crosses val="autoZero"/>
        <c:auto val="1"/>
        <c:lblAlgn val="ctr"/>
        <c:lblOffset val="100"/>
        <c:noMultiLvlLbl val="0"/>
      </c:catAx>
      <c:valAx>
        <c:axId val="496826552"/>
        <c:scaling>
          <c:orientation val="minMax"/>
        </c:scaling>
        <c:delete val="0"/>
        <c:axPos val="r"/>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829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Sheet2!$B$4:$B$14</c:f>
              <c:numCache>
                <c:formatCode>General</c:formatCode>
                <c:ptCount val="11"/>
                <c:pt idx="0">
                  <c:v>280277</c:v>
                </c:pt>
                <c:pt idx="1">
                  <c:v>290069</c:v>
                </c:pt>
                <c:pt idx="2">
                  <c:v>296919</c:v>
                </c:pt>
                <c:pt idx="3">
                  <c:v>299597</c:v>
                </c:pt>
                <c:pt idx="4">
                  <c:v>357854</c:v>
                </c:pt>
                <c:pt idx="5">
                  <c:v>331557</c:v>
                </c:pt>
                <c:pt idx="6">
                  <c:v>310336</c:v>
                </c:pt>
                <c:pt idx="7">
                  <c:v>86520</c:v>
                </c:pt>
                <c:pt idx="8">
                  <c:v>335781</c:v>
                </c:pt>
                <c:pt idx="9">
                  <c:v>343256</c:v>
                </c:pt>
                <c:pt idx="10">
                  <c:v>431124</c:v>
                </c:pt>
              </c:numCache>
            </c:numRef>
          </c:val>
          <c:smooth val="0"/>
          <c:extLst>
            <c:ext xmlns:c16="http://schemas.microsoft.com/office/drawing/2014/chart" uri="{C3380CC4-5D6E-409C-BE32-E72D297353CC}">
              <c16:uniqueId val="{00000000-943F-497B-A859-48A2F17B34FF}"/>
            </c:ext>
          </c:extLst>
        </c:ser>
        <c:dLbls>
          <c:showLegendKey val="0"/>
          <c:showVal val="0"/>
          <c:showCatName val="0"/>
          <c:showSerName val="0"/>
          <c:showPercent val="0"/>
          <c:showBubbleSize val="0"/>
        </c:dLbls>
        <c:marker val="1"/>
        <c:smooth val="0"/>
        <c:axId val="659309656"/>
        <c:axId val="659357216"/>
      </c:lineChart>
      <c:catAx>
        <c:axId val="659309656"/>
        <c:scaling>
          <c:orientation val="maxMin"/>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357216"/>
        <c:crosses val="autoZero"/>
        <c:auto val="1"/>
        <c:lblAlgn val="ctr"/>
        <c:lblOffset val="100"/>
        <c:noMultiLvlLbl val="0"/>
      </c:catAx>
      <c:valAx>
        <c:axId val="659357216"/>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309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rtl="1">
              <a:defRPr sz="1400" b="0" i="0" u="none" strike="noStrike" kern="1200" spc="0" baseline="0">
                <a:solidFill>
                  <a:schemeClr val="tx1">
                    <a:lumMod val="65000"/>
                    <a:lumOff val="35000"/>
                  </a:schemeClr>
                </a:solidFill>
                <a:latin typeface="+mn-lt"/>
                <a:ea typeface="+mn-ea"/>
                <a:cs typeface="+mn-cs"/>
              </a:defRPr>
            </a:pPr>
            <a:r>
              <a:rPr lang="ar-LB" sz="800">
                <a:latin typeface="Frutiger LT Arabic 45 Light" panose="01000000000000000000" pitchFamily="2" charset="-78"/>
                <a:cs typeface="Frutiger LT Arabic 45 Light" panose="01000000000000000000" pitchFamily="2" charset="-78"/>
              </a:rPr>
              <a:t>مقارنة عدد </a:t>
            </a:r>
            <a:r>
              <a:rPr lang="en-US" sz="800">
                <a:latin typeface="Frutiger LT Arabic 45 Light" panose="01000000000000000000" pitchFamily="2" charset="-78"/>
                <a:cs typeface="Frutiger LT Arabic 45 Light" panose="01000000000000000000" pitchFamily="2" charset="-78"/>
              </a:rPr>
              <a:t>ME</a:t>
            </a:r>
            <a:r>
              <a:rPr lang="ar-LB" sz="800">
                <a:latin typeface="Frutiger LT Arabic 45 Light" panose="01000000000000000000" pitchFamily="2" charset="-78"/>
                <a:cs typeface="Frutiger LT Arabic 45 Light" panose="01000000000000000000" pitchFamily="2" charset="-78"/>
              </a:rPr>
              <a:t> خلال الفصول</a:t>
            </a:r>
            <a:endParaRPr lang="en-US" sz="800">
              <a:latin typeface="Frutiger LT Arabic 45 Light" panose="01000000000000000000" pitchFamily="2" charset="-78"/>
              <a:cs typeface="Frutiger LT Arabic 45 Light" panose="01000000000000000000" pitchFamily="2" charset="-78"/>
            </a:endParaRPr>
          </a:p>
        </c:rich>
      </c:tx>
      <c:layout>
        <c:manualLayout>
          <c:xMode val="edge"/>
          <c:yMode val="edge"/>
          <c:x val="0.36142366579177598"/>
          <c:y val="1.3888888888888888E-2"/>
        </c:manualLayout>
      </c:layout>
      <c:overlay val="0"/>
      <c:spPr>
        <a:noFill/>
        <a:ln>
          <a:noFill/>
        </a:ln>
        <a:effectLst/>
      </c:spPr>
      <c:txPr>
        <a:bodyPr rot="0" spcFirstLastPara="1" vertOverflow="ellipsis" vert="horz" wrap="square" anchor="ctr" anchorCtr="1"/>
        <a:lstStyle/>
        <a:p>
          <a:pPr rtl="1">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1"/>
              <c:layout>
                <c:manualLayout>
                  <c:x val="-5.00000000000001E-2"/>
                  <c:y val="-2.7777777777777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646-4CAD-A94A-0CC59C90DE7E}"/>
                </c:ext>
              </c:extLst>
            </c:dLbl>
            <c:dLbl>
              <c:idx val="2"/>
              <c:layout>
                <c:manualLayout>
                  <c:x val="-5.2789915879061212E-2"/>
                  <c:y val="-7.19576911439913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646-4CAD-A94A-0CC59C90DE7E}"/>
                </c:ext>
              </c:extLst>
            </c:dLbl>
            <c:dLbl>
              <c:idx val="3"/>
              <c:layout>
                <c:manualLayout>
                  <c:x val="-3.9592436909295911E-2"/>
                  <c:y val="5.7566152915192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646-4CAD-A94A-0CC59C90DE7E}"/>
                </c:ext>
              </c:extLst>
            </c:dLbl>
            <c:dLbl>
              <c:idx val="4"/>
              <c:layout>
                <c:manualLayout>
                  <c:x val="-4.2891806651737176E-2"/>
                  <c:y val="-5.75661529151931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646-4CAD-A94A-0CC59C90DE7E}"/>
                </c:ext>
              </c:extLst>
            </c:dLbl>
            <c:dLbl>
              <c:idx val="5"/>
              <c:layout>
                <c:manualLayout>
                  <c:x val="-1.6496848712206691E-2"/>
                  <c:y val="7.19576911439913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646-4CAD-A94A-0CC59C90DE7E}"/>
                </c:ext>
              </c:extLst>
            </c:dLbl>
            <c:dLbl>
              <c:idx val="8"/>
              <c:layout>
                <c:manualLayout>
                  <c:x val="-3.6111111111111108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46-4CAD-A94A-0CC59C90DE7E}"/>
                </c:ext>
              </c:extLst>
            </c:dLbl>
            <c:dLbl>
              <c:idx val="9"/>
              <c:layout>
                <c:manualLayout>
                  <c:x val="-1.9796218454647956E-2"/>
                  <c:y val="5.75661529151930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646-4CAD-A94A-0CC59C90DE7E}"/>
                </c:ext>
              </c:extLst>
            </c:dLbl>
            <c:dLbl>
              <c:idx val="10"/>
              <c:layout>
                <c:manualLayout>
                  <c:x val="-5.000000000000001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646-4CAD-A94A-0CC59C90DE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1"/>
                <c:pt idx="0">
                  <c:v>الاول 2023</c:v>
                </c:pt>
                <c:pt idx="1">
                  <c:v>الثاني 2023</c:v>
                </c:pt>
                <c:pt idx="2">
                  <c:v>الثالث 2023</c:v>
                </c:pt>
                <c:pt idx="3">
                  <c:v>الرابع 2023</c:v>
                </c:pt>
                <c:pt idx="4">
                  <c:v>الاول 2024</c:v>
                </c:pt>
                <c:pt idx="5">
                  <c:v>الثاني 2024</c:v>
                </c:pt>
                <c:pt idx="6">
                  <c:v>الثالث 2024</c:v>
                </c:pt>
                <c:pt idx="7">
                  <c:v>الرابع 2024</c:v>
                </c:pt>
                <c:pt idx="8">
                  <c:v>الاول 2025</c:v>
                </c:pt>
                <c:pt idx="9">
                  <c:v>الثاني 2025</c:v>
                </c:pt>
                <c:pt idx="10">
                  <c:v>الثالث 2025</c:v>
                </c:pt>
              </c:strCache>
            </c:strRef>
          </c:cat>
          <c:val>
            <c:numRef>
              <c:f>Sheet2!$C$4:$C$14</c:f>
              <c:numCache>
                <c:formatCode>General</c:formatCode>
                <c:ptCount val="11"/>
                <c:pt idx="0">
                  <c:v>80</c:v>
                </c:pt>
                <c:pt idx="1">
                  <c:v>127</c:v>
                </c:pt>
                <c:pt idx="2">
                  <c:v>108</c:v>
                </c:pt>
                <c:pt idx="3">
                  <c:v>76</c:v>
                </c:pt>
                <c:pt idx="4">
                  <c:v>99</c:v>
                </c:pt>
                <c:pt idx="5">
                  <c:v>86</c:v>
                </c:pt>
                <c:pt idx="6">
                  <c:v>41</c:v>
                </c:pt>
                <c:pt idx="7">
                  <c:v>23</c:v>
                </c:pt>
                <c:pt idx="8">
                  <c:v>64</c:v>
                </c:pt>
                <c:pt idx="9">
                  <c:v>28</c:v>
                </c:pt>
                <c:pt idx="10">
                  <c:v>45</c:v>
                </c:pt>
              </c:numCache>
            </c:numRef>
          </c:val>
          <c:smooth val="0"/>
          <c:extLst>
            <c:ext xmlns:c16="http://schemas.microsoft.com/office/drawing/2014/chart" uri="{C3380CC4-5D6E-409C-BE32-E72D297353CC}">
              <c16:uniqueId val="{00000000-6646-4CAD-A94A-0CC59C90DE7E}"/>
            </c:ext>
          </c:extLst>
        </c:ser>
        <c:dLbls>
          <c:showLegendKey val="0"/>
          <c:showVal val="0"/>
          <c:showCatName val="0"/>
          <c:showSerName val="0"/>
          <c:showPercent val="0"/>
          <c:showBubbleSize val="0"/>
        </c:dLbls>
        <c:marker val="1"/>
        <c:smooth val="0"/>
        <c:axId val="615732384"/>
        <c:axId val="615732712"/>
      </c:lineChart>
      <c:catAx>
        <c:axId val="61573238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615732712"/>
        <c:crosses val="autoZero"/>
        <c:auto val="1"/>
        <c:lblAlgn val="ctr"/>
        <c:lblOffset val="100"/>
        <c:noMultiLvlLbl val="0"/>
      </c:catAx>
      <c:valAx>
        <c:axId val="615732712"/>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732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0713054563054233E-2"/>
          <c:y val="0.11521540034219679"/>
          <c:w val="0.98928694543694573"/>
          <c:h val="0.68121470130431783"/>
        </c:manualLayout>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8BF-43EB-852A-EB38130A28C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8BF-43EB-852A-EB38130A28C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1-AF53-494F-BF6F-05AB4F34F84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8BF-43EB-852A-EB38130A28C7}"/>
              </c:ext>
            </c:extLst>
          </c:dPt>
          <c:dLbls>
            <c:dLbl>
              <c:idx val="2"/>
              <c:layout>
                <c:manualLayout>
                  <c:x val="3.9854953133130928E-2"/>
                  <c:y val="3.1913195741474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53-494F-BF6F-05AB4F34F84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Sheet2!$B$23:$B$26</c:f>
              <c:strCache>
                <c:ptCount val="4"/>
                <c:pt idx="0">
                  <c:v>prescribing</c:v>
                </c:pt>
                <c:pt idx="1">
                  <c:v>transcription</c:v>
                </c:pt>
                <c:pt idx="2">
                  <c:v>dispensing</c:v>
                </c:pt>
                <c:pt idx="3">
                  <c:v> Administration</c:v>
                </c:pt>
              </c:strCache>
            </c:strRef>
          </c:cat>
          <c:val>
            <c:numRef>
              <c:f>Sheet2!$D$23:$D$26</c:f>
              <c:numCache>
                <c:formatCode>0%</c:formatCode>
                <c:ptCount val="4"/>
                <c:pt idx="0">
                  <c:v>0.51111111111111107</c:v>
                </c:pt>
                <c:pt idx="1">
                  <c:v>0.35555555555555557</c:v>
                </c:pt>
                <c:pt idx="2">
                  <c:v>4.4444444444444446E-2</c:v>
                </c:pt>
                <c:pt idx="3">
                  <c:v>8.8888888888888892E-2</c:v>
                </c:pt>
              </c:numCache>
            </c:numRef>
          </c:val>
          <c:extLst>
            <c:ext xmlns:c16="http://schemas.microsoft.com/office/drawing/2014/chart" uri="{C3380CC4-5D6E-409C-BE32-E72D297353CC}">
              <c16:uniqueId val="{00000000-AF53-494F-BF6F-05AB4F34F843}"/>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5.9072047597404448E-2"/>
          <c:y val="0.87466685582257941"/>
          <c:w val="0.67754535084402767"/>
          <c:h val="0.1253329120617725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645203365560913"/>
          <c:y val="9.4757526129736452E-2"/>
          <c:w val="0.41716263871689635"/>
          <c:h val="0.61979716191006173"/>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9A-4368-A132-A42FF8482D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9A-4368-A132-A42FF8482D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9A-4368-A132-A42FF8482D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Sheet2!$B$34:$B$36</c:f>
              <c:strCache>
                <c:ptCount val="3"/>
                <c:pt idx="0">
                  <c:v>HN check up</c:v>
                </c:pt>
                <c:pt idx="1">
                  <c:v>Pharmacist checkup </c:v>
                </c:pt>
                <c:pt idx="2">
                  <c:v>RN check up</c:v>
                </c:pt>
              </c:strCache>
            </c:strRef>
          </c:cat>
          <c:val>
            <c:numRef>
              <c:f>Sheet2!$D$34:$D$36</c:f>
              <c:numCache>
                <c:formatCode>0%</c:formatCode>
                <c:ptCount val="3"/>
                <c:pt idx="0">
                  <c:v>4.4444444444444446E-2</c:v>
                </c:pt>
                <c:pt idx="1">
                  <c:v>0.8</c:v>
                </c:pt>
                <c:pt idx="2">
                  <c:v>0.15555555555555556</c:v>
                </c:pt>
              </c:numCache>
            </c:numRef>
          </c:val>
          <c:extLst>
            <c:ext xmlns:c16="http://schemas.microsoft.com/office/drawing/2014/chart" uri="{C3380CC4-5D6E-409C-BE32-E72D297353CC}">
              <c16:uniqueId val="{00000000-EC6D-48C2-B795-63B66BFBAA63}"/>
            </c:ext>
          </c:extLst>
        </c:ser>
        <c:dLbls>
          <c:showLegendKey val="0"/>
          <c:showVal val="0"/>
          <c:showCatName val="0"/>
          <c:showSerName val="0"/>
          <c:showPercent val="0"/>
          <c:showBubbleSize val="0"/>
          <c:showLeaderLines val="1"/>
        </c:dLbls>
        <c:firstSliceAng val="360"/>
        <c:holeSize val="5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DC-49AD-ADAB-30FFEC0AD8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DC-49AD-ADAB-30FFEC0AD8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DC-49AD-ADAB-30FFEC0AD8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Sheet2!$B$48:$B$50</c:f>
              <c:strCache>
                <c:ptCount val="3"/>
                <c:pt idx="0">
                  <c:v>Day</c:v>
                </c:pt>
                <c:pt idx="1">
                  <c:v>Evening</c:v>
                </c:pt>
                <c:pt idx="2">
                  <c:v>Night</c:v>
                </c:pt>
              </c:strCache>
            </c:strRef>
          </c:cat>
          <c:val>
            <c:numRef>
              <c:f>Sheet2!$D$48:$D$50</c:f>
              <c:numCache>
                <c:formatCode>0%</c:formatCode>
                <c:ptCount val="3"/>
                <c:pt idx="0">
                  <c:v>0.75555555555555554</c:v>
                </c:pt>
                <c:pt idx="1">
                  <c:v>8.8888888888888892E-2</c:v>
                </c:pt>
                <c:pt idx="2">
                  <c:v>0.15555555555555556</c:v>
                </c:pt>
              </c:numCache>
            </c:numRef>
          </c:val>
          <c:extLst>
            <c:ext xmlns:c16="http://schemas.microsoft.com/office/drawing/2014/chart" uri="{C3380CC4-5D6E-409C-BE32-E72D297353CC}">
              <c16:uniqueId val="{00000000-2252-418E-B04D-87C181668B05}"/>
            </c:ext>
          </c:extLst>
        </c:ser>
        <c:dLbls>
          <c:showLegendKey val="0"/>
          <c:showVal val="0"/>
          <c:showCatName val="0"/>
          <c:showSerName val="0"/>
          <c:showPercent val="0"/>
          <c:showBubbleSize val="0"/>
          <c:showLeaderLines val="1"/>
        </c:dLbls>
        <c:firstSliceAng val="360"/>
        <c:holeSize val="64"/>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Sheet2!$A$56:$A$61</c:f>
              <c:strCache>
                <c:ptCount val="6"/>
                <c:pt idx="0">
                  <c:v>Work flow disruption</c:v>
                </c:pt>
                <c:pt idx="1">
                  <c:v>Medication knowledge Deficiency</c:v>
                </c:pt>
                <c:pt idx="2">
                  <c:v>Non adherence to guidelines
</c:v>
                </c:pt>
                <c:pt idx="3">
                  <c:v>non competent employee</c:v>
                </c:pt>
                <c:pt idx="4">
                  <c:v>established treatment protcol deviation</c:v>
                </c:pt>
                <c:pt idx="5">
                  <c:v>Monitoring</c:v>
                </c:pt>
              </c:strCache>
            </c:strRef>
          </c:cat>
          <c:val>
            <c:numRef>
              <c:f>Sheet2!$C$56:$C$61</c:f>
              <c:numCache>
                <c:formatCode>0%</c:formatCode>
                <c:ptCount val="6"/>
                <c:pt idx="0">
                  <c:v>0.37777777777777777</c:v>
                </c:pt>
                <c:pt idx="1">
                  <c:v>0.28888888888888886</c:v>
                </c:pt>
                <c:pt idx="2">
                  <c:v>0.2</c:v>
                </c:pt>
                <c:pt idx="3">
                  <c:v>8.8888888888888892E-2</c:v>
                </c:pt>
                <c:pt idx="4">
                  <c:v>2.2222222222222223E-2</c:v>
                </c:pt>
                <c:pt idx="5">
                  <c:v>2.2222222222222223E-2</c:v>
                </c:pt>
              </c:numCache>
            </c:numRef>
          </c:val>
          <c:extLst>
            <c:ext xmlns:c16="http://schemas.microsoft.com/office/drawing/2014/chart" uri="{C3380CC4-5D6E-409C-BE32-E72D297353CC}">
              <c16:uniqueId val="{00000000-DCDB-46E2-9A45-5A30897AB0C6}"/>
            </c:ext>
          </c:extLst>
        </c:ser>
        <c:dLbls>
          <c:showLegendKey val="0"/>
          <c:showVal val="0"/>
          <c:showCatName val="0"/>
          <c:showSerName val="0"/>
          <c:showPercent val="0"/>
          <c:showBubbleSize val="0"/>
        </c:dLbls>
        <c:gapWidth val="150"/>
        <c:axId val="504342080"/>
        <c:axId val="504343392"/>
      </c:barChart>
      <c:catAx>
        <c:axId val="504342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04343392"/>
        <c:crosses val="autoZero"/>
        <c:auto val="1"/>
        <c:lblAlgn val="ctr"/>
        <c:lblOffset val="100"/>
        <c:noMultiLvlLbl val="0"/>
      </c:catAx>
      <c:valAx>
        <c:axId val="5043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504342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984135379309153"/>
          <c:y val="0.12029479244364366"/>
          <c:w val="0.44061424746500572"/>
          <c:h val="0.7314451406472846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A6-4F86-8529-1820EC1828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A6-4F86-8529-1820EC1828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A6-4F86-8529-1820EC1828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Sheet2!$A$94:$A$96</c:f>
              <c:strCache>
                <c:ptCount val="3"/>
                <c:pt idx="0">
                  <c:v>physician</c:v>
                </c:pt>
                <c:pt idx="1">
                  <c:v>RN</c:v>
                </c:pt>
                <c:pt idx="2">
                  <c:v>pharmasist</c:v>
                </c:pt>
              </c:strCache>
            </c:strRef>
          </c:cat>
          <c:val>
            <c:numRef>
              <c:f>Sheet2!$C$94:$C$96</c:f>
              <c:numCache>
                <c:formatCode>0%</c:formatCode>
                <c:ptCount val="3"/>
                <c:pt idx="0">
                  <c:v>0.51111111111111107</c:v>
                </c:pt>
                <c:pt idx="1">
                  <c:v>0.44444444444444442</c:v>
                </c:pt>
                <c:pt idx="2">
                  <c:v>4.4444444444444446E-2</c:v>
                </c:pt>
              </c:numCache>
            </c:numRef>
          </c:val>
          <c:extLst>
            <c:ext xmlns:c16="http://schemas.microsoft.com/office/drawing/2014/chart" uri="{C3380CC4-5D6E-409C-BE32-E72D297353CC}">
              <c16:uniqueId val="{00000000-66CD-44E8-980A-7E1E1A6A4A9A}"/>
            </c:ext>
          </c:extLst>
        </c:ser>
        <c:dLbls>
          <c:showLegendKey val="0"/>
          <c:showVal val="0"/>
          <c:showCatName val="0"/>
          <c:showSerName val="0"/>
          <c:showPercent val="0"/>
          <c:showBubbleSize val="0"/>
          <c:showLeaderLines val="1"/>
        </c:dLbls>
        <c:firstSliceAng val="360"/>
        <c:holeSize val="61"/>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1.png"/><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11</xdr:col>
      <xdr:colOff>112059</xdr:colOff>
      <xdr:row>0</xdr:row>
      <xdr:rowOff>184897</xdr:rowOff>
    </xdr:from>
    <xdr:to>
      <xdr:col>18</xdr:col>
      <xdr:colOff>11206</xdr:colOff>
      <xdr:row>10</xdr:row>
      <xdr:rowOff>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229720</xdr:colOff>
      <xdr:row>10</xdr:row>
      <xdr:rowOff>67233</xdr:rowOff>
    </xdr:from>
    <xdr:to>
      <xdr:col>10</xdr:col>
      <xdr:colOff>605115</xdr:colOff>
      <xdr:row>19</xdr:row>
      <xdr:rowOff>56029</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134472</xdr:colOff>
      <xdr:row>10</xdr:row>
      <xdr:rowOff>84044</xdr:rowOff>
    </xdr:from>
    <xdr:to>
      <xdr:col>18</xdr:col>
      <xdr:colOff>2</xdr:colOff>
      <xdr:row>19</xdr:row>
      <xdr:rowOff>89647</xdr:rowOff>
    </xdr:to>
    <xdr:pic>
      <xdr:nvPicPr>
        <xdr:cNvPr id="7" name="Picture 6"/>
        <xdr:cNvPicPr>
          <a:picLocks noChangeAspect="1"/>
        </xdr:cNvPicPr>
      </xdr:nvPicPr>
      <xdr:blipFill rotWithShape="1">
        <a:blip xmlns:r="http://schemas.openxmlformats.org/officeDocument/2006/relationships" r:embed="rId3"/>
        <a:srcRect l="3541" t="11645" r="3297" b="10107"/>
        <a:stretch/>
      </xdr:blipFill>
      <xdr:spPr>
        <a:xfrm>
          <a:off x="6499413" y="1989044"/>
          <a:ext cx="4140574" cy="1720103"/>
        </a:xfrm>
        <a:prstGeom prst="rect">
          <a:avLst/>
        </a:prstGeom>
      </xdr:spPr>
    </xdr:pic>
    <xdr:clientData/>
  </xdr:twoCellAnchor>
  <xdr:twoCellAnchor>
    <xdr:from>
      <xdr:col>5</xdr:col>
      <xdr:colOff>224118</xdr:colOff>
      <xdr:row>0</xdr:row>
      <xdr:rowOff>112060</xdr:rowOff>
    </xdr:from>
    <xdr:to>
      <xdr:col>11</xdr:col>
      <xdr:colOff>409015</xdr:colOff>
      <xdr:row>9</xdr:row>
      <xdr:rowOff>162486</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218514</xdr:colOff>
      <xdr:row>21</xdr:row>
      <xdr:rowOff>11206</xdr:rowOff>
    </xdr:from>
    <xdr:to>
      <xdr:col>12</xdr:col>
      <xdr:colOff>44824</xdr:colOff>
      <xdr:row>33</xdr:row>
      <xdr:rowOff>100853</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790015</xdr:colOff>
      <xdr:row>33</xdr:row>
      <xdr:rowOff>115981</xdr:rowOff>
    </xdr:from>
    <xdr:to>
      <xdr:col>9</xdr:col>
      <xdr:colOff>156882</xdr:colOff>
      <xdr:row>40</xdr:row>
      <xdr:rowOff>184897</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196102</xdr:colOff>
      <xdr:row>42</xdr:row>
      <xdr:rowOff>16810</xdr:rowOff>
    </xdr:from>
    <xdr:to>
      <xdr:col>9</xdr:col>
      <xdr:colOff>518270</xdr:colOff>
      <xdr:row>49</xdr:row>
      <xdr:rowOff>78442</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397808</xdr:colOff>
      <xdr:row>51</xdr:row>
      <xdr:rowOff>76760</xdr:rowOff>
    </xdr:from>
    <xdr:to>
      <xdr:col>10</xdr:col>
      <xdr:colOff>487455</xdr:colOff>
      <xdr:row>61</xdr:row>
      <xdr:rowOff>67235</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89645</xdr:colOff>
      <xdr:row>96</xdr:row>
      <xdr:rowOff>172010</xdr:rowOff>
    </xdr:from>
    <xdr:to>
      <xdr:col>9</xdr:col>
      <xdr:colOff>56028</xdr:colOff>
      <xdr:row>108</xdr:row>
      <xdr:rowOff>5603</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9"/>
  <sheetViews>
    <sheetView tabSelected="1" zoomScale="90" zoomScaleNormal="90" workbookViewId="0">
      <selection activeCell="F3" sqref="F3"/>
    </sheetView>
  </sheetViews>
  <sheetFormatPr defaultRowHeight="15"/>
  <cols>
    <col min="1" max="1" width="16.140625" style="58" customWidth="1"/>
    <col min="2" max="2" width="8.5703125" style="86" customWidth="1"/>
    <col min="3" max="4" width="4.42578125" style="59" customWidth="1"/>
    <col min="5" max="5" width="12" style="58" customWidth="1"/>
    <col min="6" max="6" width="4.42578125" style="60" customWidth="1"/>
    <col min="7" max="9" width="14.85546875" style="58" customWidth="1"/>
    <col min="10" max="10" width="14.85546875" style="87" customWidth="1"/>
    <col min="11" max="11" width="13.85546875" style="58" customWidth="1"/>
    <col min="12" max="12" width="15.7109375" style="58" customWidth="1"/>
    <col min="13" max="14" width="3.85546875" style="58" customWidth="1"/>
    <col min="15" max="15" width="13" style="58" customWidth="1"/>
    <col min="16" max="16" width="30" style="61" customWidth="1"/>
    <col min="17" max="17" width="44.42578125" style="58" customWidth="1"/>
  </cols>
  <sheetData>
    <row r="1" spans="1:18" ht="84" customHeight="1">
      <c r="A1" s="54" t="s">
        <v>27</v>
      </c>
      <c r="B1" s="84" t="s">
        <v>29</v>
      </c>
      <c r="C1" s="56" t="s">
        <v>40</v>
      </c>
      <c r="D1" s="56" t="s">
        <v>0</v>
      </c>
      <c r="E1" s="54" t="s">
        <v>230</v>
      </c>
      <c r="F1" s="57" t="s">
        <v>232</v>
      </c>
      <c r="G1" s="54" t="s">
        <v>5</v>
      </c>
      <c r="H1" s="54" t="s">
        <v>82</v>
      </c>
      <c r="I1" s="54" t="s">
        <v>98</v>
      </c>
      <c r="J1" s="54" t="s">
        <v>4</v>
      </c>
      <c r="K1" s="54" t="s">
        <v>28</v>
      </c>
      <c r="L1" s="54" t="s">
        <v>41</v>
      </c>
      <c r="M1" s="56" t="s">
        <v>231</v>
      </c>
      <c r="N1" s="56" t="s">
        <v>2</v>
      </c>
      <c r="O1" s="54" t="s">
        <v>1</v>
      </c>
      <c r="P1" s="54" t="s">
        <v>3</v>
      </c>
      <c r="Q1" s="55" t="s">
        <v>366</v>
      </c>
      <c r="R1" s="56" t="s">
        <v>398</v>
      </c>
    </row>
    <row r="2" spans="1:18" ht="72">
      <c r="A2" s="88" t="s">
        <v>349</v>
      </c>
      <c r="B2" s="85">
        <v>45872</v>
      </c>
      <c r="C2" s="75" t="s">
        <v>297</v>
      </c>
      <c r="D2" s="75" t="s">
        <v>238</v>
      </c>
      <c r="E2" s="76"/>
      <c r="F2" s="77" t="s">
        <v>404</v>
      </c>
      <c r="G2" s="76" t="s">
        <v>303</v>
      </c>
      <c r="H2" s="76"/>
      <c r="I2" s="76"/>
      <c r="J2" s="76" t="s">
        <v>239</v>
      </c>
      <c r="K2" s="76" t="s">
        <v>241</v>
      </c>
      <c r="L2" s="76" t="s">
        <v>324</v>
      </c>
      <c r="M2" s="78">
        <v>1</v>
      </c>
      <c r="N2" s="79" t="s">
        <v>185</v>
      </c>
      <c r="O2" s="79" t="s">
        <v>242</v>
      </c>
      <c r="P2" s="79"/>
      <c r="Q2" s="79" t="s">
        <v>365</v>
      </c>
      <c r="R2">
        <v>1</v>
      </c>
    </row>
    <row r="3" spans="1:18" ht="90">
      <c r="A3" s="88" t="s">
        <v>349</v>
      </c>
      <c r="B3" s="85">
        <v>45915</v>
      </c>
      <c r="C3" s="75" t="s">
        <v>298</v>
      </c>
      <c r="D3" s="75" t="s">
        <v>238</v>
      </c>
      <c r="E3" s="76"/>
      <c r="F3" s="77" t="s">
        <v>404</v>
      </c>
      <c r="G3" s="76" t="s">
        <v>304</v>
      </c>
      <c r="H3" s="76"/>
      <c r="I3" s="76"/>
      <c r="J3" s="76" t="s">
        <v>321</v>
      </c>
      <c r="K3" s="76" t="s">
        <v>19</v>
      </c>
      <c r="L3" s="76" t="s">
        <v>324</v>
      </c>
      <c r="M3" s="78">
        <v>1</v>
      </c>
      <c r="N3" s="79" t="s">
        <v>185</v>
      </c>
      <c r="O3" s="79" t="s">
        <v>242</v>
      </c>
      <c r="P3" s="79"/>
      <c r="Q3" s="79" t="s">
        <v>331</v>
      </c>
      <c r="R3">
        <v>1</v>
      </c>
    </row>
    <row r="4" spans="1:18" ht="45">
      <c r="A4" s="88" t="s">
        <v>349</v>
      </c>
      <c r="B4" s="85">
        <v>45853</v>
      </c>
      <c r="C4" s="75" t="s">
        <v>209</v>
      </c>
      <c r="D4" s="75" t="s">
        <v>238</v>
      </c>
      <c r="E4" s="76"/>
      <c r="F4" s="77" t="s">
        <v>404</v>
      </c>
      <c r="G4" s="76" t="s">
        <v>305</v>
      </c>
      <c r="H4" s="76"/>
      <c r="I4" s="76"/>
      <c r="J4" s="76" t="s">
        <v>239</v>
      </c>
      <c r="K4" s="76" t="s">
        <v>325</v>
      </c>
      <c r="L4" s="76" t="s">
        <v>240</v>
      </c>
      <c r="M4" s="80">
        <v>0</v>
      </c>
      <c r="N4" s="79" t="s">
        <v>229</v>
      </c>
      <c r="O4" s="79" t="s">
        <v>242</v>
      </c>
      <c r="P4" s="79"/>
      <c r="Q4" s="79" t="s">
        <v>332</v>
      </c>
      <c r="R4">
        <v>1</v>
      </c>
    </row>
    <row r="5" spans="1:18" ht="90">
      <c r="A5" s="88" t="s">
        <v>349</v>
      </c>
      <c r="B5" s="85">
        <v>45903</v>
      </c>
      <c r="C5" s="75" t="s">
        <v>298</v>
      </c>
      <c r="D5" s="75" t="s">
        <v>238</v>
      </c>
      <c r="E5" s="76"/>
      <c r="F5" s="77" t="s">
        <v>404</v>
      </c>
      <c r="G5" s="76" t="s">
        <v>306</v>
      </c>
      <c r="H5" s="76"/>
      <c r="I5" s="76"/>
      <c r="J5" s="76" t="s">
        <v>322</v>
      </c>
      <c r="K5" s="76" t="s">
        <v>241</v>
      </c>
      <c r="L5" s="76" t="s">
        <v>324</v>
      </c>
      <c r="M5" s="78">
        <v>0</v>
      </c>
      <c r="N5" s="79" t="s">
        <v>229</v>
      </c>
      <c r="O5" s="79" t="s">
        <v>242</v>
      </c>
      <c r="P5" s="79"/>
      <c r="Q5" s="79" t="s">
        <v>333</v>
      </c>
      <c r="R5">
        <v>1</v>
      </c>
    </row>
    <row r="6" spans="1:18" ht="72">
      <c r="A6" s="88" t="s">
        <v>349</v>
      </c>
      <c r="B6" s="85">
        <v>45863</v>
      </c>
      <c r="C6" s="75" t="s">
        <v>210</v>
      </c>
      <c r="D6" s="75" t="s">
        <v>238</v>
      </c>
      <c r="E6" s="76"/>
      <c r="F6" s="77" t="s">
        <v>404</v>
      </c>
      <c r="G6" s="76" t="s">
        <v>307</v>
      </c>
      <c r="H6" s="76"/>
      <c r="I6" s="76"/>
      <c r="J6" s="76" t="s">
        <v>351</v>
      </c>
      <c r="K6" s="76" t="s">
        <v>115</v>
      </c>
      <c r="L6" s="76" t="s">
        <v>326</v>
      </c>
      <c r="M6" s="80">
        <v>1</v>
      </c>
      <c r="N6" s="79" t="s">
        <v>185</v>
      </c>
      <c r="O6" s="79" t="s">
        <v>242</v>
      </c>
      <c r="P6" s="79"/>
      <c r="Q6" s="79" t="s">
        <v>334</v>
      </c>
      <c r="R6">
        <v>1</v>
      </c>
    </row>
    <row r="7" spans="1:18" ht="108">
      <c r="A7" s="88" t="s">
        <v>349</v>
      </c>
      <c r="B7" s="85">
        <v>45897</v>
      </c>
      <c r="C7" s="75" t="s">
        <v>297</v>
      </c>
      <c r="D7" s="75" t="s">
        <v>238</v>
      </c>
      <c r="E7" s="76"/>
      <c r="F7" s="77" t="s">
        <v>404</v>
      </c>
      <c r="G7" s="76" t="s">
        <v>308</v>
      </c>
      <c r="H7" s="76"/>
      <c r="I7" s="76"/>
      <c r="J7" s="76" t="s">
        <v>239</v>
      </c>
      <c r="K7" s="76" t="s">
        <v>330</v>
      </c>
      <c r="L7" s="76" t="s">
        <v>20</v>
      </c>
      <c r="M7" s="78">
        <v>0</v>
      </c>
      <c r="N7" s="79" t="s">
        <v>229</v>
      </c>
      <c r="O7" s="79" t="s">
        <v>242</v>
      </c>
      <c r="P7" s="79"/>
      <c r="Q7" s="79" t="s">
        <v>335</v>
      </c>
      <c r="R7">
        <v>1</v>
      </c>
    </row>
    <row r="8" spans="1:18" ht="72">
      <c r="A8" s="88" t="s">
        <v>349</v>
      </c>
      <c r="B8" s="85">
        <v>45917</v>
      </c>
      <c r="C8" s="75" t="s">
        <v>210</v>
      </c>
      <c r="D8" s="75" t="s">
        <v>238</v>
      </c>
      <c r="E8" s="76"/>
      <c r="F8" s="77" t="s">
        <v>404</v>
      </c>
      <c r="G8" s="76" t="s">
        <v>309</v>
      </c>
      <c r="H8" s="76"/>
      <c r="I8" s="76"/>
      <c r="J8" s="76" t="s">
        <v>239</v>
      </c>
      <c r="K8" s="76" t="s">
        <v>241</v>
      </c>
      <c r="L8" s="76" t="s">
        <v>240</v>
      </c>
      <c r="M8" s="78">
        <v>0</v>
      </c>
      <c r="N8" s="79" t="s">
        <v>229</v>
      </c>
      <c r="O8" s="79" t="s">
        <v>242</v>
      </c>
      <c r="P8" s="79"/>
      <c r="Q8" s="79" t="s">
        <v>336</v>
      </c>
      <c r="R8">
        <v>1</v>
      </c>
    </row>
    <row r="9" spans="1:18" ht="54">
      <c r="A9" s="88" t="s">
        <v>349</v>
      </c>
      <c r="B9" s="85">
        <v>45886</v>
      </c>
      <c r="C9" s="75" t="s">
        <v>58</v>
      </c>
      <c r="D9" s="75" t="s">
        <v>238</v>
      </c>
      <c r="E9" s="76"/>
      <c r="F9" s="77" t="s">
        <v>404</v>
      </c>
      <c r="G9" s="76" t="s">
        <v>310</v>
      </c>
      <c r="H9" s="76"/>
      <c r="I9" s="76"/>
      <c r="J9" s="76" t="s">
        <v>239</v>
      </c>
      <c r="K9" s="76" t="s">
        <v>325</v>
      </c>
      <c r="L9" s="76" t="s">
        <v>240</v>
      </c>
      <c r="M9" s="78">
        <v>1</v>
      </c>
      <c r="N9" s="79" t="s">
        <v>185</v>
      </c>
      <c r="O9" s="79" t="s">
        <v>242</v>
      </c>
      <c r="P9" s="79"/>
      <c r="Q9" s="79" t="s">
        <v>337</v>
      </c>
      <c r="R9">
        <v>1</v>
      </c>
    </row>
    <row r="10" spans="1:18" ht="90">
      <c r="A10" s="88" t="s">
        <v>349</v>
      </c>
      <c r="B10" s="85">
        <v>45845</v>
      </c>
      <c r="C10" s="75" t="s">
        <v>297</v>
      </c>
      <c r="D10" s="75" t="s">
        <v>238</v>
      </c>
      <c r="E10" s="76"/>
      <c r="F10" s="77" t="s">
        <v>404</v>
      </c>
      <c r="G10" s="76" t="s">
        <v>311</v>
      </c>
      <c r="H10" s="76"/>
      <c r="I10" s="76"/>
      <c r="J10" s="76" t="s">
        <v>289</v>
      </c>
      <c r="K10" s="76" t="s">
        <v>241</v>
      </c>
      <c r="L10" s="76" t="s">
        <v>326</v>
      </c>
      <c r="M10" s="80">
        <v>2</v>
      </c>
      <c r="N10" s="79" t="s">
        <v>185</v>
      </c>
      <c r="O10" s="79" t="s">
        <v>242</v>
      </c>
      <c r="P10" s="79"/>
      <c r="Q10" s="79" t="s">
        <v>338</v>
      </c>
      <c r="R10">
        <v>2</v>
      </c>
    </row>
    <row r="11" spans="1:18" ht="54">
      <c r="A11" s="88" t="s">
        <v>349</v>
      </c>
      <c r="B11" s="85">
        <v>45882</v>
      </c>
      <c r="C11" s="75" t="s">
        <v>299</v>
      </c>
      <c r="D11" s="75" t="s">
        <v>238</v>
      </c>
      <c r="E11" s="76"/>
      <c r="F11" s="77" t="s">
        <v>404</v>
      </c>
      <c r="G11" s="76" t="s">
        <v>312</v>
      </c>
      <c r="H11" s="76"/>
      <c r="I11" s="76"/>
      <c r="J11" s="76" t="s">
        <v>323</v>
      </c>
      <c r="K11" s="76" t="s">
        <v>115</v>
      </c>
      <c r="L11" s="76" t="s">
        <v>324</v>
      </c>
      <c r="M11" s="78">
        <v>0</v>
      </c>
      <c r="N11" s="79" t="s">
        <v>229</v>
      </c>
      <c r="O11" s="79" t="s">
        <v>242</v>
      </c>
      <c r="P11" s="79"/>
      <c r="Q11" s="79" t="s">
        <v>339</v>
      </c>
      <c r="R11">
        <v>1</v>
      </c>
    </row>
    <row r="12" spans="1:18" ht="126">
      <c r="A12" s="88" t="s">
        <v>349</v>
      </c>
      <c r="B12" s="85">
        <v>45882</v>
      </c>
      <c r="C12" s="75" t="s">
        <v>299</v>
      </c>
      <c r="D12" s="75" t="s">
        <v>238</v>
      </c>
      <c r="E12" s="76"/>
      <c r="F12" s="77" t="s">
        <v>404</v>
      </c>
      <c r="G12" s="76" t="s">
        <v>313</v>
      </c>
      <c r="H12" s="76"/>
      <c r="I12" s="76"/>
      <c r="J12" s="76" t="s">
        <v>239</v>
      </c>
      <c r="K12" s="76" t="s">
        <v>325</v>
      </c>
      <c r="L12" s="76" t="s">
        <v>324</v>
      </c>
      <c r="M12" s="78">
        <v>1</v>
      </c>
      <c r="N12" s="79" t="s">
        <v>185</v>
      </c>
      <c r="O12" s="79" t="s">
        <v>242</v>
      </c>
      <c r="P12" s="79"/>
      <c r="Q12" s="79" t="s">
        <v>340</v>
      </c>
      <c r="R12">
        <v>1</v>
      </c>
    </row>
    <row r="13" spans="1:18" ht="72">
      <c r="A13" s="88" t="s">
        <v>349</v>
      </c>
      <c r="B13" s="85">
        <v>45842</v>
      </c>
      <c r="C13" s="75" t="s">
        <v>300</v>
      </c>
      <c r="D13" s="75" t="s">
        <v>238</v>
      </c>
      <c r="E13" s="76"/>
      <c r="F13" s="77" t="s">
        <v>404</v>
      </c>
      <c r="G13" s="76" t="s">
        <v>314</v>
      </c>
      <c r="H13" s="76"/>
      <c r="I13" s="76"/>
      <c r="J13" s="76" t="s">
        <v>239</v>
      </c>
      <c r="K13" s="76" t="s">
        <v>327</v>
      </c>
      <c r="L13" s="76" t="s">
        <v>240</v>
      </c>
      <c r="M13" s="80">
        <v>0</v>
      </c>
      <c r="N13" s="79" t="s">
        <v>229</v>
      </c>
      <c r="O13" s="79" t="s">
        <v>242</v>
      </c>
      <c r="P13" s="79"/>
      <c r="Q13" s="79" t="s">
        <v>341</v>
      </c>
      <c r="R13">
        <v>1</v>
      </c>
    </row>
    <row r="14" spans="1:18" ht="90">
      <c r="A14" s="88" t="s">
        <v>349</v>
      </c>
      <c r="B14" s="85">
        <v>45843</v>
      </c>
      <c r="C14" s="75" t="s">
        <v>297</v>
      </c>
      <c r="D14" s="75" t="s">
        <v>238</v>
      </c>
      <c r="E14" s="74"/>
      <c r="F14" s="74" t="s">
        <v>404</v>
      </c>
      <c r="G14" s="81" t="s">
        <v>315</v>
      </c>
      <c r="H14" s="74"/>
      <c r="I14" s="74"/>
      <c r="J14" s="81" t="s">
        <v>239</v>
      </c>
      <c r="K14" s="76" t="s">
        <v>325</v>
      </c>
      <c r="L14" s="81" t="s">
        <v>240</v>
      </c>
      <c r="M14" s="81">
        <v>0</v>
      </c>
      <c r="N14" s="79" t="s">
        <v>229</v>
      </c>
      <c r="O14" s="79" t="s">
        <v>242</v>
      </c>
      <c r="P14" s="79"/>
      <c r="Q14" s="79" t="s">
        <v>342</v>
      </c>
      <c r="R14">
        <v>1</v>
      </c>
    </row>
    <row r="15" spans="1:18" ht="54">
      <c r="A15" s="88" t="s">
        <v>349</v>
      </c>
      <c r="B15" s="85">
        <v>45869</v>
      </c>
      <c r="C15" s="75"/>
      <c r="D15" s="75" t="s">
        <v>238</v>
      </c>
      <c r="E15" s="74"/>
      <c r="F15" s="77" t="s">
        <v>404</v>
      </c>
      <c r="G15" s="81" t="s">
        <v>316</v>
      </c>
      <c r="H15" s="74"/>
      <c r="I15" s="74"/>
      <c r="J15" s="81" t="s">
        <v>321</v>
      </c>
      <c r="K15" s="82" t="s">
        <v>115</v>
      </c>
      <c r="L15" s="81" t="s">
        <v>324</v>
      </c>
      <c r="M15" s="83">
        <v>1</v>
      </c>
      <c r="N15" s="79" t="s">
        <v>185</v>
      </c>
      <c r="O15" s="79" t="s">
        <v>242</v>
      </c>
      <c r="P15" s="79"/>
      <c r="Q15" s="79" t="s">
        <v>343</v>
      </c>
      <c r="R15">
        <v>1</v>
      </c>
    </row>
    <row r="16" spans="1:18" ht="90">
      <c r="A16" s="88" t="s">
        <v>349</v>
      </c>
      <c r="B16" s="85">
        <v>45918</v>
      </c>
      <c r="C16" s="75" t="s">
        <v>301</v>
      </c>
      <c r="D16" s="75" t="s">
        <v>238</v>
      </c>
      <c r="E16" s="74"/>
      <c r="F16" s="77" t="s">
        <v>404</v>
      </c>
      <c r="G16" s="81" t="s">
        <v>317</v>
      </c>
      <c r="H16" s="74"/>
      <c r="I16" s="74"/>
      <c r="J16" s="81" t="s">
        <v>239</v>
      </c>
      <c r="K16" s="82" t="s">
        <v>115</v>
      </c>
      <c r="L16" s="81" t="s">
        <v>324</v>
      </c>
      <c r="M16" s="83">
        <v>3</v>
      </c>
      <c r="N16" s="79" t="s">
        <v>185</v>
      </c>
      <c r="O16" s="79" t="s">
        <v>242</v>
      </c>
      <c r="P16" s="79"/>
      <c r="Q16" s="79" t="s">
        <v>344</v>
      </c>
      <c r="R16">
        <v>3</v>
      </c>
    </row>
    <row r="17" spans="1:18" ht="54">
      <c r="A17" s="88" t="s">
        <v>349</v>
      </c>
      <c r="B17" s="85">
        <v>45912</v>
      </c>
      <c r="C17" s="75" t="s">
        <v>348</v>
      </c>
      <c r="D17" s="75" t="s">
        <v>238</v>
      </c>
      <c r="E17" s="74"/>
      <c r="F17" s="77" t="s">
        <v>404</v>
      </c>
      <c r="G17" s="81" t="s">
        <v>318</v>
      </c>
      <c r="H17" s="74"/>
      <c r="I17" s="74"/>
      <c r="J17" s="81" t="s">
        <v>239</v>
      </c>
      <c r="K17" s="82" t="s">
        <v>328</v>
      </c>
      <c r="L17" s="81" t="s">
        <v>240</v>
      </c>
      <c r="M17" s="83">
        <v>0</v>
      </c>
      <c r="N17" s="79" t="s">
        <v>229</v>
      </c>
      <c r="O17" s="79" t="s">
        <v>242</v>
      </c>
      <c r="P17" s="79"/>
      <c r="Q17" s="79" t="s">
        <v>345</v>
      </c>
      <c r="R17">
        <v>1</v>
      </c>
    </row>
    <row r="18" spans="1:18" ht="54">
      <c r="A18" s="88" t="s">
        <v>349</v>
      </c>
      <c r="B18" s="85">
        <v>45872</v>
      </c>
      <c r="C18" s="75" t="s">
        <v>302</v>
      </c>
      <c r="D18" s="75" t="s">
        <v>238</v>
      </c>
      <c r="E18" s="74"/>
      <c r="F18" s="77" t="s">
        <v>404</v>
      </c>
      <c r="G18" s="81" t="s">
        <v>319</v>
      </c>
      <c r="H18" s="74"/>
      <c r="I18" s="74"/>
      <c r="J18" s="81" t="s">
        <v>77</v>
      </c>
      <c r="K18" s="82" t="s">
        <v>329</v>
      </c>
      <c r="L18" s="81" t="s">
        <v>240</v>
      </c>
      <c r="M18" s="83">
        <v>0</v>
      </c>
      <c r="N18" s="79" t="s">
        <v>229</v>
      </c>
      <c r="O18" s="79" t="s">
        <v>242</v>
      </c>
      <c r="P18" s="79"/>
      <c r="Q18" s="79" t="s">
        <v>346</v>
      </c>
      <c r="R18">
        <v>1</v>
      </c>
    </row>
    <row r="19" spans="1:18" ht="90">
      <c r="A19" s="88" t="s">
        <v>349</v>
      </c>
      <c r="B19" s="85">
        <v>45905</v>
      </c>
      <c r="C19" s="75" t="s">
        <v>234</v>
      </c>
      <c r="D19" s="75" t="s">
        <v>238</v>
      </c>
      <c r="E19" s="74"/>
      <c r="F19" s="77" t="s">
        <v>404</v>
      </c>
      <c r="G19" s="81" t="s">
        <v>320</v>
      </c>
      <c r="H19" s="74"/>
      <c r="I19" s="74"/>
      <c r="J19" s="81" t="s">
        <v>239</v>
      </c>
      <c r="K19" s="82" t="s">
        <v>241</v>
      </c>
      <c r="L19" s="81" t="s">
        <v>326</v>
      </c>
      <c r="M19" s="83">
        <v>3</v>
      </c>
      <c r="N19" s="79" t="s">
        <v>185</v>
      </c>
      <c r="O19" s="79" t="s">
        <v>242</v>
      </c>
      <c r="P19" s="79"/>
      <c r="Q19" s="79" t="s">
        <v>347</v>
      </c>
      <c r="R19">
        <v>3</v>
      </c>
    </row>
    <row r="20" spans="1:18" ht="56.25">
      <c r="A20" s="89" t="s">
        <v>236</v>
      </c>
      <c r="B20" s="90">
        <v>45915</v>
      </c>
      <c r="C20" s="92" t="s">
        <v>260</v>
      </c>
      <c r="D20" s="91" t="s">
        <v>64</v>
      </c>
      <c r="E20" s="89"/>
      <c r="F20" s="93" t="s">
        <v>237</v>
      </c>
      <c r="G20" s="89" t="s">
        <v>259</v>
      </c>
      <c r="H20" s="89"/>
      <c r="I20" s="89"/>
      <c r="J20" s="89" t="s">
        <v>255</v>
      </c>
      <c r="K20" s="89" t="s">
        <v>273</v>
      </c>
      <c r="L20" s="89" t="s">
        <v>272</v>
      </c>
      <c r="M20" s="89">
        <v>0</v>
      </c>
      <c r="N20" s="89" t="s">
        <v>229</v>
      </c>
      <c r="O20" s="89" t="s">
        <v>261</v>
      </c>
      <c r="P20" s="89" t="s">
        <v>271</v>
      </c>
      <c r="Q20" s="89"/>
      <c r="R20">
        <v>1</v>
      </c>
    </row>
    <row r="21" spans="1:18" ht="56.25">
      <c r="A21" s="89" t="s">
        <v>236</v>
      </c>
      <c r="B21" s="90">
        <v>45899</v>
      </c>
      <c r="C21" s="92" t="s">
        <v>263</v>
      </c>
      <c r="D21" s="92" t="s">
        <v>64</v>
      </c>
      <c r="E21" s="94"/>
      <c r="F21" s="93" t="s">
        <v>237</v>
      </c>
      <c r="G21" s="89" t="s">
        <v>262</v>
      </c>
      <c r="H21" s="95"/>
      <c r="I21" s="95"/>
      <c r="J21" s="89" t="s">
        <v>286</v>
      </c>
      <c r="K21" s="89" t="s">
        <v>251</v>
      </c>
      <c r="L21" s="89" t="s">
        <v>285</v>
      </c>
      <c r="M21" s="89">
        <v>0</v>
      </c>
      <c r="N21" s="89" t="s">
        <v>229</v>
      </c>
      <c r="O21" s="89" t="s">
        <v>233</v>
      </c>
      <c r="P21" s="89" t="s">
        <v>271</v>
      </c>
      <c r="Q21" s="89"/>
      <c r="R21">
        <v>1</v>
      </c>
    </row>
    <row r="22" spans="1:18" ht="55.5">
      <c r="A22" s="68" t="s">
        <v>235</v>
      </c>
      <c r="B22" s="64">
        <v>45842</v>
      </c>
      <c r="C22" s="65" t="s">
        <v>234</v>
      </c>
      <c r="D22" s="65" t="s">
        <v>65</v>
      </c>
      <c r="E22" s="62" t="s">
        <v>257</v>
      </c>
      <c r="F22" s="62" t="s">
        <v>256</v>
      </c>
      <c r="G22" s="62" t="s">
        <v>258</v>
      </c>
      <c r="H22" s="63"/>
      <c r="I22" s="63"/>
      <c r="J22" s="62" t="s">
        <v>290</v>
      </c>
      <c r="K22" s="62" t="s">
        <v>254</v>
      </c>
      <c r="L22" s="114" t="s">
        <v>240</v>
      </c>
      <c r="M22" s="62">
        <v>0</v>
      </c>
      <c r="N22" s="62" t="s">
        <v>229</v>
      </c>
      <c r="O22" s="62" t="s">
        <v>242</v>
      </c>
      <c r="P22" s="103" t="s">
        <v>375</v>
      </c>
      <c r="Q22" s="62"/>
      <c r="R22">
        <v>1</v>
      </c>
    </row>
    <row r="23" spans="1:18" ht="55.5">
      <c r="A23" s="68" t="s">
        <v>235</v>
      </c>
      <c r="B23" s="64">
        <v>45842</v>
      </c>
      <c r="C23" s="65" t="s">
        <v>253</v>
      </c>
      <c r="D23" s="65" t="s">
        <v>64</v>
      </c>
      <c r="E23" s="68"/>
      <c r="F23" s="68" t="s">
        <v>256</v>
      </c>
      <c r="G23" s="68" t="s">
        <v>252</v>
      </c>
      <c r="H23" s="68"/>
      <c r="I23" s="68"/>
      <c r="J23" s="62" t="s">
        <v>290</v>
      </c>
      <c r="K23" s="68" t="s">
        <v>251</v>
      </c>
      <c r="L23" s="114" t="s">
        <v>405</v>
      </c>
      <c r="M23" s="68">
        <v>0</v>
      </c>
      <c r="N23" s="68" t="s">
        <v>229</v>
      </c>
      <c r="O23" s="68" t="s">
        <v>242</v>
      </c>
      <c r="P23" s="103" t="s">
        <v>374</v>
      </c>
      <c r="Q23" s="68"/>
      <c r="R23">
        <v>1</v>
      </c>
    </row>
    <row r="24" spans="1:18" ht="55.5">
      <c r="A24" s="68" t="s">
        <v>235</v>
      </c>
      <c r="B24" s="64">
        <v>45842</v>
      </c>
      <c r="C24" s="65" t="s">
        <v>250</v>
      </c>
      <c r="D24" s="65" t="s">
        <v>64</v>
      </c>
      <c r="E24" s="62"/>
      <c r="F24" s="68" t="s">
        <v>256</v>
      </c>
      <c r="G24" s="62" t="s">
        <v>360</v>
      </c>
      <c r="H24" s="63"/>
      <c r="I24" s="63"/>
      <c r="J24" s="62" t="s">
        <v>289</v>
      </c>
      <c r="K24" s="62" t="s">
        <v>249</v>
      </c>
      <c r="L24" s="114" t="s">
        <v>405</v>
      </c>
      <c r="M24" s="62">
        <v>0</v>
      </c>
      <c r="N24" s="62" t="s">
        <v>229</v>
      </c>
      <c r="O24" s="62" t="s">
        <v>242</v>
      </c>
      <c r="P24" s="103" t="s">
        <v>373</v>
      </c>
      <c r="Q24" s="62" t="s">
        <v>372</v>
      </c>
      <c r="R24">
        <v>1</v>
      </c>
    </row>
    <row r="25" spans="1:18" ht="54.75">
      <c r="A25" s="68" t="s">
        <v>235</v>
      </c>
      <c r="B25" s="69">
        <v>45848</v>
      </c>
      <c r="C25" s="70" t="s">
        <v>245</v>
      </c>
      <c r="D25" s="65" t="s">
        <v>66</v>
      </c>
      <c r="E25" s="71"/>
      <c r="F25" s="68" t="s">
        <v>256</v>
      </c>
      <c r="G25" s="68" t="s">
        <v>244</v>
      </c>
      <c r="H25" s="72"/>
      <c r="I25" s="72"/>
      <c r="J25" s="62" t="s">
        <v>288</v>
      </c>
      <c r="K25" s="62" t="s">
        <v>243</v>
      </c>
      <c r="L25" s="62" t="s">
        <v>240</v>
      </c>
      <c r="M25" s="62">
        <v>0</v>
      </c>
      <c r="N25" s="62" t="s">
        <v>229</v>
      </c>
      <c r="O25" s="62" t="s">
        <v>242</v>
      </c>
      <c r="P25" s="103" t="s">
        <v>373</v>
      </c>
      <c r="Q25" s="68"/>
      <c r="R25">
        <v>1</v>
      </c>
    </row>
    <row r="26" spans="1:18" ht="54">
      <c r="A26" s="68" t="s">
        <v>235</v>
      </c>
      <c r="B26" s="64">
        <v>45859</v>
      </c>
      <c r="C26" s="70" t="s">
        <v>245</v>
      </c>
      <c r="D26" s="65" t="s">
        <v>64</v>
      </c>
      <c r="E26" s="67" t="s">
        <v>274</v>
      </c>
      <c r="F26" s="68" t="s">
        <v>256</v>
      </c>
      <c r="G26" s="62" t="s">
        <v>246</v>
      </c>
      <c r="H26" s="66"/>
      <c r="I26" s="66"/>
      <c r="J26" s="68" t="s">
        <v>255</v>
      </c>
      <c r="K26" s="62" t="s">
        <v>280</v>
      </c>
      <c r="L26" s="73" t="s">
        <v>275</v>
      </c>
      <c r="M26" s="62">
        <v>1</v>
      </c>
      <c r="N26" s="62" t="s">
        <v>185</v>
      </c>
      <c r="O26" s="62" t="s">
        <v>261</v>
      </c>
      <c r="P26" s="103" t="s">
        <v>376</v>
      </c>
      <c r="Q26" s="62"/>
      <c r="R26">
        <v>1</v>
      </c>
    </row>
    <row r="27" spans="1:18" ht="54">
      <c r="A27" s="68" t="s">
        <v>235</v>
      </c>
      <c r="B27" s="69">
        <v>45861</v>
      </c>
      <c r="C27" s="70" t="s">
        <v>248</v>
      </c>
      <c r="D27" s="65" t="s">
        <v>65</v>
      </c>
      <c r="E27" s="62"/>
      <c r="F27" s="62" t="s">
        <v>256</v>
      </c>
      <c r="G27" s="68" t="s">
        <v>247</v>
      </c>
      <c r="H27" s="63"/>
      <c r="I27" s="63"/>
      <c r="J27" s="62" t="s">
        <v>281</v>
      </c>
      <c r="K27" s="62" t="s">
        <v>243</v>
      </c>
      <c r="L27" s="114" t="s">
        <v>240</v>
      </c>
      <c r="M27" s="62">
        <v>0</v>
      </c>
      <c r="N27" s="62" t="s">
        <v>229</v>
      </c>
      <c r="O27" s="62" t="s">
        <v>242</v>
      </c>
      <c r="P27" s="103" t="s">
        <v>377</v>
      </c>
      <c r="Q27" s="62"/>
      <c r="R27">
        <v>1</v>
      </c>
    </row>
    <row r="28" spans="1:18" ht="54">
      <c r="A28" s="68" t="s">
        <v>235</v>
      </c>
      <c r="B28" s="64">
        <v>45882</v>
      </c>
      <c r="C28" s="65" t="s">
        <v>268</v>
      </c>
      <c r="D28" s="65" t="s">
        <v>64</v>
      </c>
      <c r="E28" s="68"/>
      <c r="F28" s="68" t="s">
        <v>256</v>
      </c>
      <c r="G28" s="62" t="s">
        <v>246</v>
      </c>
      <c r="H28" s="68"/>
      <c r="I28" s="68"/>
      <c r="J28" s="62" t="s">
        <v>290</v>
      </c>
      <c r="K28" s="62" t="s">
        <v>254</v>
      </c>
      <c r="L28" s="114" t="s">
        <v>240</v>
      </c>
      <c r="M28" s="62">
        <v>0</v>
      </c>
      <c r="N28" s="62" t="s">
        <v>229</v>
      </c>
      <c r="O28" s="62" t="s">
        <v>242</v>
      </c>
      <c r="P28" s="103" t="s">
        <v>367</v>
      </c>
      <c r="Q28" s="68"/>
      <c r="R28">
        <v>1</v>
      </c>
    </row>
    <row r="29" spans="1:18" ht="54.75">
      <c r="A29" s="68" t="s">
        <v>235</v>
      </c>
      <c r="B29" s="64">
        <v>45872</v>
      </c>
      <c r="C29" s="65" t="s">
        <v>293</v>
      </c>
      <c r="D29" s="65" t="s">
        <v>66</v>
      </c>
      <c r="E29" s="62"/>
      <c r="F29" s="62" t="s">
        <v>256</v>
      </c>
      <c r="G29" s="62" t="s">
        <v>294</v>
      </c>
      <c r="H29" s="62"/>
      <c r="I29" s="62"/>
      <c r="J29" s="62" t="s">
        <v>290</v>
      </c>
      <c r="K29" s="62" t="s">
        <v>350</v>
      </c>
      <c r="L29" s="114" t="s">
        <v>240</v>
      </c>
      <c r="M29" s="68">
        <v>0</v>
      </c>
      <c r="N29" s="68" t="s">
        <v>229</v>
      </c>
      <c r="O29" s="68" t="s">
        <v>242</v>
      </c>
      <c r="P29" s="104" t="s">
        <v>378</v>
      </c>
      <c r="Q29" s="68" t="s">
        <v>368</v>
      </c>
      <c r="R29">
        <v>1</v>
      </c>
    </row>
    <row r="30" spans="1:18" ht="54.75">
      <c r="A30" s="68" t="s">
        <v>235</v>
      </c>
      <c r="B30" s="64">
        <v>45874</v>
      </c>
      <c r="C30" s="65" t="s">
        <v>223</v>
      </c>
      <c r="D30" s="65" t="s">
        <v>65</v>
      </c>
      <c r="E30" s="62"/>
      <c r="F30" s="62" t="s">
        <v>256</v>
      </c>
      <c r="G30" s="62" t="s">
        <v>264</v>
      </c>
      <c r="H30" s="62"/>
      <c r="I30" s="62"/>
      <c r="J30" s="62" t="s">
        <v>288</v>
      </c>
      <c r="K30" s="62" t="s">
        <v>243</v>
      </c>
      <c r="L30" s="114" t="s">
        <v>240</v>
      </c>
      <c r="M30" s="68">
        <v>0</v>
      </c>
      <c r="N30" s="68" t="s">
        <v>229</v>
      </c>
      <c r="O30" s="68" t="s">
        <v>242</v>
      </c>
      <c r="P30" s="103" t="s">
        <v>375</v>
      </c>
      <c r="Q30" s="68" t="s">
        <v>362</v>
      </c>
      <c r="R30">
        <v>1</v>
      </c>
    </row>
    <row r="31" spans="1:18" ht="55.5">
      <c r="A31" s="68" t="s">
        <v>235</v>
      </c>
      <c r="B31" s="64">
        <v>45878</v>
      </c>
      <c r="C31" s="65" t="s">
        <v>210</v>
      </c>
      <c r="D31" s="65" t="s">
        <v>64</v>
      </c>
      <c r="E31" s="62"/>
      <c r="F31" s="62" t="s">
        <v>256</v>
      </c>
      <c r="G31" s="62" t="s">
        <v>352</v>
      </c>
      <c r="H31" s="62"/>
      <c r="I31" s="62"/>
      <c r="J31" s="62" t="s">
        <v>353</v>
      </c>
      <c r="K31" s="62" t="s">
        <v>243</v>
      </c>
      <c r="L31" s="62" t="s">
        <v>272</v>
      </c>
      <c r="M31" s="68">
        <v>0</v>
      </c>
      <c r="N31" s="68" t="s">
        <v>229</v>
      </c>
      <c r="O31" s="68" t="s">
        <v>233</v>
      </c>
      <c r="P31" s="103" t="s">
        <v>369</v>
      </c>
      <c r="Q31" s="68"/>
      <c r="R31">
        <v>1</v>
      </c>
    </row>
    <row r="32" spans="1:18" ht="54">
      <c r="A32" s="68" t="s">
        <v>235</v>
      </c>
      <c r="B32" s="64">
        <v>45884</v>
      </c>
      <c r="C32" s="65" t="s">
        <v>260</v>
      </c>
      <c r="D32" s="65" t="s">
        <v>64</v>
      </c>
      <c r="E32" s="62"/>
      <c r="F32" s="62" t="s">
        <v>256</v>
      </c>
      <c r="G32" s="62" t="s">
        <v>279</v>
      </c>
      <c r="H32" s="62"/>
      <c r="I32" s="62"/>
      <c r="J32" s="62" t="s">
        <v>287</v>
      </c>
      <c r="K32" s="62" t="s">
        <v>282</v>
      </c>
      <c r="L32" s="114" t="s">
        <v>405</v>
      </c>
      <c r="M32" s="68">
        <v>0</v>
      </c>
      <c r="N32" s="68" t="s">
        <v>229</v>
      </c>
      <c r="O32" s="68" t="s">
        <v>242</v>
      </c>
      <c r="P32" s="103" t="s">
        <v>375</v>
      </c>
      <c r="Q32" s="68" t="s">
        <v>370</v>
      </c>
      <c r="R32">
        <v>1</v>
      </c>
    </row>
    <row r="33" spans="1:18" ht="36">
      <c r="A33" s="68" t="s">
        <v>413</v>
      </c>
      <c r="B33" s="64"/>
      <c r="C33" s="68" t="s">
        <v>210</v>
      </c>
      <c r="D33" s="65" t="s">
        <v>66</v>
      </c>
      <c r="E33" s="62" t="s">
        <v>278</v>
      </c>
      <c r="F33" s="62" t="s">
        <v>256</v>
      </c>
      <c r="G33" s="62" t="s">
        <v>270</v>
      </c>
      <c r="H33" s="62"/>
      <c r="I33" s="62"/>
      <c r="J33" s="62" t="s">
        <v>255</v>
      </c>
      <c r="K33" s="62" t="s">
        <v>276</v>
      </c>
      <c r="L33" s="62" t="s">
        <v>277</v>
      </c>
      <c r="M33" s="68">
        <v>4</v>
      </c>
      <c r="N33" s="68" t="s">
        <v>185</v>
      </c>
      <c r="O33" s="68" t="s">
        <v>269</v>
      </c>
      <c r="P33" s="62" t="s">
        <v>364</v>
      </c>
      <c r="Q33" s="68"/>
      <c r="R33">
        <v>4</v>
      </c>
    </row>
    <row r="34" spans="1:18" ht="54.75">
      <c r="A34" s="68" t="s">
        <v>235</v>
      </c>
      <c r="B34" s="64">
        <v>45887</v>
      </c>
      <c r="C34" s="65" t="s">
        <v>295</v>
      </c>
      <c r="D34" s="65" t="s">
        <v>66</v>
      </c>
      <c r="E34" s="62"/>
      <c r="F34" s="62" t="s">
        <v>256</v>
      </c>
      <c r="G34" s="62" t="s">
        <v>296</v>
      </c>
      <c r="H34" s="62"/>
      <c r="I34" s="62"/>
      <c r="J34" s="62" t="s">
        <v>290</v>
      </c>
      <c r="K34" s="62" t="s">
        <v>282</v>
      </c>
      <c r="L34" s="114" t="s">
        <v>405</v>
      </c>
      <c r="M34" s="68">
        <v>0</v>
      </c>
      <c r="N34" s="68" t="s">
        <v>229</v>
      </c>
      <c r="O34" s="68" t="s">
        <v>242</v>
      </c>
      <c r="P34" s="103" t="s">
        <v>373</v>
      </c>
      <c r="Q34" s="100"/>
      <c r="R34">
        <v>1</v>
      </c>
    </row>
    <row r="35" spans="1:18" ht="54">
      <c r="A35" s="96" t="s">
        <v>235</v>
      </c>
      <c r="B35" s="97">
        <v>45892</v>
      </c>
      <c r="C35" s="98" t="s">
        <v>210</v>
      </c>
      <c r="D35" s="98" t="s">
        <v>64</v>
      </c>
      <c r="E35" s="99"/>
      <c r="F35" s="99" t="s">
        <v>256</v>
      </c>
      <c r="G35" s="99" t="s">
        <v>354</v>
      </c>
      <c r="H35" s="99"/>
      <c r="I35" s="99"/>
      <c r="J35" s="99" t="s">
        <v>283</v>
      </c>
      <c r="K35" s="99" t="s">
        <v>355</v>
      </c>
      <c r="L35" s="114" t="s">
        <v>405</v>
      </c>
      <c r="M35" s="96">
        <v>0</v>
      </c>
      <c r="N35" s="96" t="s">
        <v>229</v>
      </c>
      <c r="O35" s="96" t="s">
        <v>242</v>
      </c>
      <c r="P35" s="96" t="s">
        <v>363</v>
      </c>
      <c r="Q35" s="102" t="s">
        <v>361</v>
      </c>
      <c r="R35">
        <v>1</v>
      </c>
    </row>
    <row r="36" spans="1:18" ht="72">
      <c r="A36" s="96" t="s">
        <v>235</v>
      </c>
      <c r="B36" s="97">
        <v>45899</v>
      </c>
      <c r="C36" s="98" t="s">
        <v>356</v>
      </c>
      <c r="D36" s="98" t="s">
        <v>64</v>
      </c>
      <c r="E36" s="99"/>
      <c r="F36" s="99" t="s">
        <v>256</v>
      </c>
      <c r="G36" s="99" t="s">
        <v>357</v>
      </c>
      <c r="H36" s="99"/>
      <c r="I36" s="99"/>
      <c r="J36" s="99" t="s">
        <v>358</v>
      </c>
      <c r="K36" s="99" t="s">
        <v>251</v>
      </c>
      <c r="L36" s="114" t="s">
        <v>240</v>
      </c>
      <c r="M36" s="96">
        <v>0</v>
      </c>
      <c r="N36" s="96" t="s">
        <v>229</v>
      </c>
      <c r="O36" s="96" t="s">
        <v>242</v>
      </c>
      <c r="P36" s="102" t="s">
        <v>361</v>
      </c>
      <c r="Q36" s="96" t="s">
        <v>359</v>
      </c>
      <c r="R36">
        <v>1</v>
      </c>
    </row>
    <row r="37" spans="1:18" ht="54">
      <c r="A37" s="68" t="s">
        <v>235</v>
      </c>
      <c r="B37" s="64">
        <v>45913</v>
      </c>
      <c r="C37" s="68" t="s">
        <v>210</v>
      </c>
      <c r="D37" s="65" t="s">
        <v>64</v>
      </c>
      <c r="E37" s="68"/>
      <c r="F37" s="68" t="s">
        <v>256</v>
      </c>
      <c r="G37" s="68" t="s">
        <v>265</v>
      </c>
      <c r="H37" s="68"/>
      <c r="I37" s="68"/>
      <c r="J37" s="68" t="s">
        <v>283</v>
      </c>
      <c r="K37" s="62" t="s">
        <v>282</v>
      </c>
      <c r="L37" s="114" t="s">
        <v>240</v>
      </c>
      <c r="M37" s="68">
        <v>0</v>
      </c>
      <c r="N37" s="68" t="s">
        <v>229</v>
      </c>
      <c r="O37" s="68" t="s">
        <v>284</v>
      </c>
      <c r="P37" s="68" t="s">
        <v>371</v>
      </c>
      <c r="Q37" s="101"/>
      <c r="R37">
        <v>1</v>
      </c>
    </row>
    <row r="38" spans="1:18" ht="54.75">
      <c r="A38" s="68" t="s">
        <v>235</v>
      </c>
      <c r="B38" s="64">
        <v>45910</v>
      </c>
      <c r="C38" s="65" t="s">
        <v>260</v>
      </c>
      <c r="D38" s="65" t="s">
        <v>65</v>
      </c>
      <c r="E38" s="68"/>
      <c r="F38" s="68" t="s">
        <v>256</v>
      </c>
      <c r="G38" s="68" t="s">
        <v>266</v>
      </c>
      <c r="H38" s="68"/>
      <c r="I38" s="68"/>
      <c r="J38" s="68" t="s">
        <v>291</v>
      </c>
      <c r="K38" s="68" t="s">
        <v>267</v>
      </c>
      <c r="L38" s="114" t="s">
        <v>405</v>
      </c>
      <c r="M38" s="68">
        <v>0</v>
      </c>
      <c r="N38" s="68" t="s">
        <v>229</v>
      </c>
      <c r="O38" s="68" t="s">
        <v>242</v>
      </c>
      <c r="P38" s="103" t="s">
        <v>375</v>
      </c>
      <c r="Q38" s="68" t="s">
        <v>292</v>
      </c>
      <c r="R38">
        <v>1</v>
      </c>
    </row>
    <row r="39" spans="1:18" ht="39" customHeight="1">
      <c r="Q39" s="105" t="s">
        <v>379</v>
      </c>
    </row>
  </sheetData>
  <autoFilter ref="A1:Q39"/>
  <pageMargins left="0.7" right="0.7" top="0.75" bottom="0.75" header="0.3" footer="0.3"/>
  <pageSetup paperSize="9" scale="6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election activeCell="C31" sqref="C31"/>
    </sheetView>
  </sheetViews>
  <sheetFormatPr defaultRowHeight="15"/>
  <cols>
    <col min="1" max="1" width="27.5703125" customWidth="1"/>
  </cols>
  <sheetData>
    <row r="1" spans="1:1">
      <c r="A1" t="s">
        <v>98</v>
      </c>
    </row>
    <row r="2" spans="1:1">
      <c r="A2" s="21" t="s">
        <v>99</v>
      </c>
    </row>
    <row r="3" spans="1:1">
      <c r="A3" s="21" t="s">
        <v>100</v>
      </c>
    </row>
    <row r="4" spans="1:1">
      <c r="A4" s="21" t="s">
        <v>101</v>
      </c>
    </row>
    <row r="5" spans="1:1">
      <c r="A5" s="21" t="s">
        <v>92</v>
      </c>
    </row>
    <row r="6" spans="1:1">
      <c r="A6" s="21" t="s">
        <v>102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
  <sheetViews>
    <sheetView workbookViewId="0">
      <selection activeCell="A11" sqref="A11"/>
    </sheetView>
  </sheetViews>
  <sheetFormatPr defaultRowHeight="15"/>
  <cols>
    <col min="1" max="1" width="18" customWidth="1"/>
  </cols>
  <sheetData>
    <row r="1" spans="1:1">
      <c r="A1" s="53" t="s">
        <v>82</v>
      </c>
    </row>
    <row r="2" spans="1:1">
      <c r="A2" s="50" t="s">
        <v>85</v>
      </c>
    </row>
    <row r="3" spans="1:1">
      <c r="A3" s="51" t="s">
        <v>83</v>
      </c>
    </row>
    <row r="4" spans="1:1">
      <c r="A4" s="51" t="s">
        <v>84</v>
      </c>
    </row>
    <row r="5" spans="1:1">
      <c r="A5" s="51" t="s">
        <v>88</v>
      </c>
    </row>
    <row r="6" spans="1:1">
      <c r="A6" s="51" t="s">
        <v>86</v>
      </c>
    </row>
    <row r="7" spans="1:1">
      <c r="A7" s="51" t="s">
        <v>87</v>
      </c>
    </row>
    <row r="8" spans="1:1">
      <c r="A8" s="49" t="s">
        <v>89</v>
      </c>
    </row>
    <row r="9" spans="1:1">
      <c r="A9" s="49" t="s">
        <v>90</v>
      </c>
    </row>
    <row r="10" spans="1:1">
      <c r="A10" s="49" t="s">
        <v>91</v>
      </c>
    </row>
    <row r="11" spans="1:1">
      <c r="A11" s="49" t="s">
        <v>93</v>
      </c>
    </row>
    <row r="12" spans="1:1">
      <c r="A12" s="49" t="s">
        <v>94</v>
      </c>
    </row>
    <row r="13" spans="1:1">
      <c r="A13" s="49" t="s">
        <v>95</v>
      </c>
    </row>
    <row r="14" spans="1:1">
      <c r="A14" s="49" t="s">
        <v>96</v>
      </c>
    </row>
    <row r="15" spans="1:1">
      <c r="A15" s="52" t="s">
        <v>97</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workbookViewId="0">
      <selection activeCell="A38" sqref="A38"/>
    </sheetView>
  </sheetViews>
  <sheetFormatPr defaultRowHeight="15"/>
  <cols>
    <col min="1" max="1" width="25.42578125" customWidth="1"/>
  </cols>
  <sheetData>
    <row r="1" spans="1:1">
      <c r="A1" s="3" t="s">
        <v>27</v>
      </c>
    </row>
    <row r="2" spans="1:1">
      <c r="A2" s="2" t="s">
        <v>26</v>
      </c>
    </row>
    <row r="3" spans="1:1" ht="18">
      <c r="A3" s="1" t="s">
        <v>25</v>
      </c>
    </row>
    <row r="4" spans="1:1" ht="18">
      <c r="A4" s="1" t="s">
        <v>24</v>
      </c>
    </row>
    <row r="5" spans="1:1" ht="18">
      <c r="A5" s="1" t="s">
        <v>23</v>
      </c>
    </row>
    <row r="6" spans="1:1" ht="18">
      <c r="A6" s="1" t="s">
        <v>21</v>
      </c>
    </row>
    <row r="7" spans="1:1" ht="18">
      <c r="A7" s="1" t="s">
        <v>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E29" sqref="E29"/>
    </sheetView>
  </sheetViews>
  <sheetFormatPr defaultRowHeight="15"/>
  <cols>
    <col min="1" max="1" width="21.28515625" customWidth="1"/>
    <col min="2" max="2" width="21.140625" customWidth="1"/>
  </cols>
  <sheetData>
    <row r="1" spans="1:2">
      <c r="A1" s="6" t="s">
        <v>0</v>
      </c>
      <c r="B1" s="6" t="s">
        <v>0</v>
      </c>
    </row>
    <row r="2" spans="1:2" ht="21.75">
      <c r="A2" s="14" t="s">
        <v>64</v>
      </c>
      <c r="B2" s="15" t="s">
        <v>61</v>
      </c>
    </row>
    <row r="3" spans="1:2" ht="21.75">
      <c r="A3" s="14" t="s">
        <v>65</v>
      </c>
      <c r="B3" s="15" t="s">
        <v>62</v>
      </c>
    </row>
    <row r="4" spans="1:2" ht="21.75">
      <c r="A4" s="14" t="s">
        <v>66</v>
      </c>
      <c r="B4" s="15" t="s">
        <v>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4"/>
  <sheetViews>
    <sheetView workbookViewId="0">
      <selection activeCell="B33" sqref="B33"/>
    </sheetView>
  </sheetViews>
  <sheetFormatPr defaultRowHeight="15"/>
  <cols>
    <col min="1" max="1" width="22.7109375" bestFit="1" customWidth="1"/>
    <col min="2" max="2" width="28.7109375" customWidth="1"/>
    <col min="3" max="3" width="7.5703125" customWidth="1"/>
    <col min="6" max="6" width="23.28515625" customWidth="1"/>
    <col min="7" max="7" width="37.28515625" customWidth="1"/>
  </cols>
  <sheetData>
    <row r="1" spans="1:1" ht="21.75">
      <c r="A1" s="47" t="s">
        <v>190</v>
      </c>
    </row>
    <row r="2" spans="1:1" ht="19.5">
      <c r="A2" s="48" t="s">
        <v>211</v>
      </c>
    </row>
    <row r="3" spans="1:1" ht="19.5">
      <c r="A3" s="48" t="s">
        <v>212</v>
      </c>
    </row>
    <row r="4" spans="1:1" ht="19.5">
      <c r="A4" s="48" t="s">
        <v>213</v>
      </c>
    </row>
    <row r="5" spans="1:1" ht="19.5">
      <c r="A5" s="48" t="s">
        <v>217</v>
      </c>
    </row>
    <row r="6" spans="1:1" ht="19.5">
      <c r="A6" s="48" t="s">
        <v>214</v>
      </c>
    </row>
    <row r="7" spans="1:1" ht="19.5">
      <c r="A7" s="48" t="s">
        <v>215</v>
      </c>
    </row>
    <row r="8" spans="1:1" ht="19.5">
      <c r="A8" s="48" t="s">
        <v>216</v>
      </c>
    </row>
    <row r="9" spans="1:1" ht="19.5">
      <c r="A9" s="48" t="s">
        <v>218</v>
      </c>
    </row>
    <row r="10" spans="1:1" ht="19.5">
      <c r="A10" s="48" t="s">
        <v>219</v>
      </c>
    </row>
    <row r="11" spans="1:1" ht="19.5">
      <c r="A11" s="48" t="s">
        <v>208</v>
      </c>
    </row>
    <row r="12" spans="1:1" ht="19.5">
      <c r="A12" s="48" t="s">
        <v>220</v>
      </c>
    </row>
    <row r="13" spans="1:1" ht="19.5">
      <c r="A13" s="48" t="s">
        <v>209</v>
      </c>
    </row>
    <row r="14" spans="1:1" ht="19.5">
      <c r="A14" s="48" t="s">
        <v>187</v>
      </c>
    </row>
    <row r="15" spans="1:1" ht="19.5">
      <c r="A15" s="48" t="s">
        <v>221</v>
      </c>
    </row>
    <row r="16" spans="1:1" ht="19.5">
      <c r="A16" s="48" t="s">
        <v>188</v>
      </c>
    </row>
    <row r="17" spans="1:1" ht="19.5">
      <c r="A17" s="48" t="s">
        <v>222</v>
      </c>
    </row>
    <row r="18" spans="1:1" ht="19.5">
      <c r="A18" s="48" t="s">
        <v>210</v>
      </c>
    </row>
    <row r="19" spans="1:1" ht="19.5">
      <c r="A19" s="48" t="s">
        <v>187</v>
      </c>
    </row>
    <row r="20" spans="1:1" ht="19.5">
      <c r="A20" s="48" t="s">
        <v>223</v>
      </c>
    </row>
    <row r="21" spans="1:1" ht="19.5">
      <c r="A21" s="48" t="s">
        <v>224</v>
      </c>
    </row>
    <row r="22" spans="1:1" ht="19.5">
      <c r="A22" s="48" t="s">
        <v>225</v>
      </c>
    </row>
    <row r="23" spans="1:1" ht="19.5">
      <c r="A23" s="48" t="s">
        <v>226</v>
      </c>
    </row>
    <row r="24" spans="1:1" ht="19.5">
      <c r="A24" s="48" t="s">
        <v>59</v>
      </c>
    </row>
    <row r="25" spans="1:1" ht="19.5">
      <c r="A25" s="46" t="s">
        <v>189</v>
      </c>
    </row>
    <row r="26" spans="1:1" ht="19.5">
      <c r="A26" s="46" t="s">
        <v>58</v>
      </c>
    </row>
    <row r="27" spans="1:1" ht="19.5">
      <c r="A27" s="46" t="s">
        <v>227</v>
      </c>
    </row>
    <row r="28" spans="1:1" ht="19.5">
      <c r="A28" s="46" t="s">
        <v>205</v>
      </c>
    </row>
    <row r="29" spans="1:1" ht="19.5">
      <c r="A29" s="46" t="s">
        <v>60</v>
      </c>
    </row>
    <row r="30" spans="1:1" ht="19.5">
      <c r="A30" s="46" t="s">
        <v>206</v>
      </c>
    </row>
    <row r="31" spans="1:1" ht="19.5">
      <c r="A31" s="46" t="s">
        <v>207</v>
      </c>
    </row>
    <row r="32" spans="1:1" ht="19.5">
      <c r="A32" s="46" t="s">
        <v>228</v>
      </c>
    </row>
    <row r="33" spans="1:1" ht="19.5">
      <c r="A33" s="46" t="s">
        <v>30</v>
      </c>
    </row>
    <row r="34" spans="1:1">
      <c r="A34" s="30"/>
    </row>
  </sheetData>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election activeCell="B34" sqref="B34"/>
    </sheetView>
  </sheetViews>
  <sheetFormatPr defaultRowHeight="15"/>
  <cols>
    <col min="1" max="1" width="32.140625" bestFit="1" customWidth="1"/>
    <col min="2" max="2" width="26" customWidth="1"/>
  </cols>
  <sheetData>
    <row r="1" spans="1:2">
      <c r="A1" s="6" t="s">
        <v>181</v>
      </c>
      <c r="B1" s="38" t="s">
        <v>182</v>
      </c>
    </row>
    <row r="2" spans="1:2" ht="19.5">
      <c r="A2" s="4" t="s">
        <v>69</v>
      </c>
    </row>
    <row r="3" spans="1:2" ht="19.5">
      <c r="A3" s="4" t="s">
        <v>68</v>
      </c>
    </row>
    <row r="4" spans="1:2" ht="19.5">
      <c r="A4" s="4" t="s">
        <v>38</v>
      </c>
    </row>
    <row r="5" spans="1:2" ht="19.5">
      <c r="A5" s="4" t="s">
        <v>34</v>
      </c>
    </row>
    <row r="6" spans="1:2" ht="19.5">
      <c r="A6" s="4" t="s">
        <v>35</v>
      </c>
    </row>
    <row r="7" spans="1:2" ht="19.5">
      <c r="A7" s="4" t="s">
        <v>36</v>
      </c>
    </row>
    <row r="8" spans="1:2" ht="19.5">
      <c r="A8" s="4" t="s">
        <v>37</v>
      </c>
    </row>
    <row r="9" spans="1:2" ht="19.5">
      <c r="A9" s="5" t="s">
        <v>31</v>
      </c>
    </row>
    <row r="10" spans="1:2" ht="19.5">
      <c r="A10" s="5" t="s">
        <v>32</v>
      </c>
    </row>
    <row r="11" spans="1:2" ht="19.5">
      <c r="A11" s="5" t="s">
        <v>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A6" sqref="A6"/>
    </sheetView>
  </sheetViews>
  <sheetFormatPr defaultRowHeight="15"/>
  <cols>
    <col min="1" max="1" width="29" customWidth="1"/>
    <col min="2" max="2" width="23.7109375" bestFit="1" customWidth="1"/>
    <col min="3" max="3" width="22.42578125" customWidth="1"/>
  </cols>
  <sheetData>
    <row r="1" spans="1:3" ht="27" customHeight="1">
      <c r="A1" t="s">
        <v>80</v>
      </c>
      <c r="B1" t="s">
        <v>81</v>
      </c>
    </row>
    <row r="3" spans="1:3">
      <c r="A3" s="16" t="s">
        <v>4</v>
      </c>
    </row>
    <row r="4" spans="1:3" ht="20.25">
      <c r="A4" s="8" t="s">
        <v>45</v>
      </c>
      <c r="B4" s="39" t="s">
        <v>70</v>
      </c>
      <c r="C4" s="19"/>
    </row>
    <row r="5" spans="1:3" ht="20.25">
      <c r="A5" s="8" t="s">
        <v>46</v>
      </c>
      <c r="B5" s="39" t="s">
        <v>71</v>
      </c>
      <c r="C5" s="19"/>
    </row>
    <row r="6" spans="1:3" ht="20.25">
      <c r="A6" s="8" t="s">
        <v>47</v>
      </c>
      <c r="B6" s="39" t="s">
        <v>72</v>
      </c>
      <c r="C6" s="19"/>
    </row>
    <row r="7" spans="1:3" ht="20.25">
      <c r="A7" s="8" t="s">
        <v>48</v>
      </c>
      <c r="B7" s="39" t="s">
        <v>73</v>
      </c>
      <c r="C7" s="19"/>
    </row>
    <row r="8" spans="1:3" ht="20.25">
      <c r="A8" s="9" t="s">
        <v>49</v>
      </c>
      <c r="B8" s="39" t="s">
        <v>74</v>
      </c>
      <c r="C8" s="19"/>
    </row>
    <row r="9" spans="1:3" ht="20.25">
      <c r="A9" s="9" t="s">
        <v>50</v>
      </c>
      <c r="B9" s="39" t="s">
        <v>75</v>
      </c>
    </row>
    <row r="10" spans="1:3" ht="20.25">
      <c r="A10" s="10" t="s">
        <v>51</v>
      </c>
      <c r="B10" s="39" t="s">
        <v>76</v>
      </c>
      <c r="C10" s="19"/>
    </row>
    <row r="11" spans="1:3" ht="20.25">
      <c r="A11" s="10" t="s">
        <v>52</v>
      </c>
      <c r="B11" s="39" t="s">
        <v>77</v>
      </c>
      <c r="C11" s="19"/>
    </row>
    <row r="12" spans="1:3" ht="20.25">
      <c r="A12" s="10" t="s">
        <v>53</v>
      </c>
      <c r="B12" s="39" t="s">
        <v>78</v>
      </c>
      <c r="C12" s="19"/>
    </row>
    <row r="13" spans="1:3" ht="20.25">
      <c r="A13" s="10" t="s">
        <v>54</v>
      </c>
      <c r="B13" s="39" t="s">
        <v>79</v>
      </c>
      <c r="C13" s="19"/>
    </row>
    <row r="14" spans="1:3" ht="20.25">
      <c r="A14" s="10" t="s">
        <v>55</v>
      </c>
    </row>
    <row r="15" spans="1:3" ht="20.25">
      <c r="A15" s="11" t="s">
        <v>56</v>
      </c>
    </row>
    <row r="16" spans="1:3" ht="20.25">
      <c r="A16" s="11" t="s">
        <v>57</v>
      </c>
    </row>
  </sheetData>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7"/>
  <sheetViews>
    <sheetView topLeftCell="A91" zoomScale="170" zoomScaleNormal="170" workbookViewId="0">
      <selection activeCell="E73" sqref="E73"/>
    </sheetView>
  </sheetViews>
  <sheetFormatPr defaultRowHeight="15"/>
  <cols>
    <col min="1" max="1" width="33.85546875" customWidth="1"/>
    <col min="2" max="2" width="14.5703125" customWidth="1"/>
    <col min="3" max="3" width="16.28515625" bestFit="1" customWidth="1"/>
    <col min="4" max="5" width="13.5703125" customWidth="1"/>
    <col min="6" max="6" width="12.140625" customWidth="1"/>
  </cols>
  <sheetData>
    <row r="1" spans="1:5">
      <c r="A1" t="s">
        <v>384</v>
      </c>
      <c r="B1" t="s">
        <v>382</v>
      </c>
      <c r="C1" t="s">
        <v>383</v>
      </c>
    </row>
    <row r="2" spans="1:5">
      <c r="A2" t="s">
        <v>397</v>
      </c>
      <c r="B2">
        <v>246224</v>
      </c>
      <c r="C2">
        <v>97</v>
      </c>
      <c r="D2" s="110">
        <f t="shared" ref="D2:D14" si="0">C2/B2</f>
        <v>3.9395022418610697E-4</v>
      </c>
      <c r="E2" s="110"/>
    </row>
    <row r="3" spans="1:5">
      <c r="A3" t="s">
        <v>396</v>
      </c>
      <c r="B3">
        <v>278656</v>
      </c>
      <c r="C3">
        <v>196</v>
      </c>
      <c r="D3" s="110">
        <f t="shared" si="0"/>
        <v>7.0337620578778137E-4</v>
      </c>
      <c r="E3" s="110"/>
    </row>
    <row r="4" spans="1:5">
      <c r="A4" t="s">
        <v>385</v>
      </c>
      <c r="B4">
        <v>280277</v>
      </c>
      <c r="C4">
        <v>80</v>
      </c>
      <c r="D4" s="110">
        <f t="shared" si="0"/>
        <v>2.8543191200134152E-4</v>
      </c>
      <c r="E4" s="110"/>
    </row>
    <row r="5" spans="1:5">
      <c r="A5" t="s">
        <v>386</v>
      </c>
      <c r="B5">
        <v>290069</v>
      </c>
      <c r="C5">
        <v>127</v>
      </c>
      <c r="D5" s="110">
        <f t="shared" si="0"/>
        <v>4.378268618845861E-4</v>
      </c>
      <c r="E5" s="110"/>
    </row>
    <row r="6" spans="1:5">
      <c r="A6" t="s">
        <v>387</v>
      </c>
      <c r="B6">
        <v>296919</v>
      </c>
      <c r="C6">
        <v>108</v>
      </c>
      <c r="D6" s="110">
        <f t="shared" si="0"/>
        <v>3.6373556424479402E-4</v>
      </c>
      <c r="E6" s="110"/>
    </row>
    <row r="7" spans="1:5">
      <c r="A7" t="s">
        <v>388</v>
      </c>
      <c r="B7">
        <v>299597</v>
      </c>
      <c r="C7">
        <v>76</v>
      </c>
      <c r="D7" s="110">
        <f t="shared" si="0"/>
        <v>2.5367410221063629E-4</v>
      </c>
      <c r="E7" s="110"/>
    </row>
    <row r="8" spans="1:5">
      <c r="A8" t="s">
        <v>389</v>
      </c>
      <c r="B8">
        <v>357854</v>
      </c>
      <c r="C8">
        <v>99</v>
      </c>
      <c r="D8" s="110">
        <f t="shared" si="0"/>
        <v>2.766491362399191E-4</v>
      </c>
      <c r="E8" s="110"/>
    </row>
    <row r="9" spans="1:5">
      <c r="A9" t="s">
        <v>390</v>
      </c>
      <c r="B9">
        <v>331557</v>
      </c>
      <c r="C9">
        <v>86</v>
      </c>
      <c r="D9" s="110">
        <f t="shared" si="0"/>
        <v>2.5938224799958984E-4</v>
      </c>
      <c r="E9" s="110"/>
    </row>
    <row r="10" spans="1:5">
      <c r="A10" t="s">
        <v>391</v>
      </c>
      <c r="B10">
        <v>310336</v>
      </c>
      <c r="C10">
        <v>41</v>
      </c>
      <c r="D10" s="110">
        <f t="shared" si="0"/>
        <v>1.3211486904516395E-4</v>
      </c>
      <c r="E10" s="110"/>
    </row>
    <row r="11" spans="1:5">
      <c r="A11" t="s">
        <v>392</v>
      </c>
      <c r="B11">
        <v>86520</v>
      </c>
      <c r="C11">
        <v>23</v>
      </c>
      <c r="D11" s="110">
        <f t="shared" si="0"/>
        <v>2.6583448913546E-4</v>
      </c>
      <c r="E11" s="110"/>
    </row>
    <row r="12" spans="1:5">
      <c r="A12" t="s">
        <v>393</v>
      </c>
      <c r="B12">
        <v>335781</v>
      </c>
      <c r="C12">
        <v>64</v>
      </c>
      <c r="D12" s="110">
        <f t="shared" si="0"/>
        <v>1.9060042110780539E-4</v>
      </c>
      <c r="E12" s="110"/>
    </row>
    <row r="13" spans="1:5">
      <c r="A13" t="s">
        <v>394</v>
      </c>
      <c r="B13">
        <v>343256</v>
      </c>
      <c r="C13">
        <v>28</v>
      </c>
      <c r="D13" s="110">
        <f t="shared" si="0"/>
        <v>8.1571771505814904E-5</v>
      </c>
      <c r="E13" s="110"/>
    </row>
    <row r="14" spans="1:5">
      <c r="A14" t="s">
        <v>395</v>
      </c>
      <c r="B14">
        <v>431124</v>
      </c>
      <c r="C14">
        <v>45</v>
      </c>
      <c r="D14" s="110">
        <f t="shared" si="0"/>
        <v>1.043783227099396E-4</v>
      </c>
      <c r="E14" s="110"/>
    </row>
    <row r="15" spans="1:5">
      <c r="B15">
        <f>SUM(B2:B14)</f>
        <v>3888170</v>
      </c>
      <c r="C15">
        <f>SUM(C2:C14)</f>
        <v>1070</v>
      </c>
      <c r="D15" s="111">
        <f>C15/B15</f>
        <v>2.7519372866927115E-4</v>
      </c>
      <c r="E15" s="111"/>
    </row>
    <row r="16" spans="1:5">
      <c r="C16" s="113">
        <f>C14-C13</f>
        <v>17</v>
      </c>
    </row>
    <row r="17" spans="2:5">
      <c r="C17" s="112">
        <f>C16/C13</f>
        <v>0.6071428571428571</v>
      </c>
    </row>
    <row r="22" spans="2:5">
      <c r="B22" s="19" t="s">
        <v>400</v>
      </c>
      <c r="C22" s="107" t="s">
        <v>383</v>
      </c>
    </row>
    <row r="23" spans="2:5">
      <c r="B23" s="19" t="s">
        <v>349</v>
      </c>
      <c r="C23" s="107">
        <v>23</v>
      </c>
      <c r="D23" s="112">
        <f>C23/45</f>
        <v>0.51111111111111107</v>
      </c>
      <c r="E23" s="112"/>
    </row>
    <row r="24" spans="2:5">
      <c r="B24" s="19" t="s">
        <v>235</v>
      </c>
      <c r="C24" s="107">
        <v>16</v>
      </c>
      <c r="D24" s="112">
        <f>C24/45</f>
        <v>0.35555555555555557</v>
      </c>
      <c r="E24" s="112"/>
    </row>
    <row r="25" spans="2:5">
      <c r="B25" s="19" t="s">
        <v>236</v>
      </c>
      <c r="C25" s="107">
        <v>2</v>
      </c>
      <c r="D25" s="112">
        <f>C25/45</f>
        <v>4.4444444444444446E-2</v>
      </c>
      <c r="E25" s="112"/>
    </row>
    <row r="26" spans="2:5">
      <c r="B26" s="106" t="s">
        <v>412</v>
      </c>
      <c r="C26" s="109">
        <v>4</v>
      </c>
      <c r="D26" s="112">
        <f>C26/45</f>
        <v>8.8888888888888892E-2</v>
      </c>
      <c r="E26" s="112"/>
    </row>
    <row r="27" spans="2:5">
      <c r="B27" t="s">
        <v>381</v>
      </c>
      <c r="C27">
        <v>45</v>
      </c>
      <c r="D27" s="112">
        <f>C27/45</f>
        <v>1</v>
      </c>
      <c r="E27" s="112"/>
    </row>
    <row r="33" spans="2:5">
      <c r="B33" t="s">
        <v>380</v>
      </c>
      <c r="C33" t="s">
        <v>399</v>
      </c>
    </row>
    <row r="34" spans="2:5">
      <c r="B34" t="s">
        <v>261</v>
      </c>
      <c r="C34">
        <v>2</v>
      </c>
      <c r="D34" s="112">
        <f>C34/45</f>
        <v>4.4444444444444446E-2</v>
      </c>
      <c r="E34" s="112"/>
    </row>
    <row r="35" spans="2:5">
      <c r="B35" t="s">
        <v>242</v>
      </c>
      <c r="C35">
        <v>36</v>
      </c>
      <c r="D35" s="112">
        <f t="shared" ref="D35:D36" si="1">C35/45</f>
        <v>0.8</v>
      </c>
      <c r="E35" s="112"/>
    </row>
    <row r="36" spans="2:5">
      <c r="B36" t="s">
        <v>233</v>
      </c>
      <c r="C36">
        <v>7</v>
      </c>
      <c r="D36" s="112">
        <f t="shared" si="1"/>
        <v>0.15555555555555556</v>
      </c>
      <c r="E36" s="112"/>
    </row>
    <row r="37" spans="2:5">
      <c r="B37" t="s">
        <v>381</v>
      </c>
      <c r="C37">
        <v>45</v>
      </c>
    </row>
    <row r="47" spans="2:5">
      <c r="B47" s="19"/>
      <c r="C47" s="107"/>
    </row>
    <row r="48" spans="2:5">
      <c r="B48" s="19" t="s">
        <v>401</v>
      </c>
      <c r="C48" s="107">
        <v>34</v>
      </c>
      <c r="D48" s="112">
        <f>C48/45</f>
        <v>0.75555555555555554</v>
      </c>
      <c r="E48" s="112"/>
    </row>
    <row r="49" spans="1:5">
      <c r="B49" s="19" t="s">
        <v>402</v>
      </c>
      <c r="C49" s="107">
        <v>4</v>
      </c>
      <c r="D49" s="112">
        <f t="shared" ref="D49:D52" si="2">C49/45</f>
        <v>8.8888888888888892E-2</v>
      </c>
      <c r="E49" s="112"/>
    </row>
    <row r="50" spans="1:5">
      <c r="B50" s="19" t="s">
        <v>403</v>
      </c>
      <c r="C50" s="107">
        <v>7</v>
      </c>
      <c r="D50" s="112">
        <f t="shared" si="2"/>
        <v>0.15555555555555556</v>
      </c>
      <c r="E50" s="112"/>
    </row>
    <row r="51" spans="1:5">
      <c r="B51" s="19"/>
      <c r="C51" s="107"/>
      <c r="D51" s="112"/>
      <c r="E51" s="112"/>
    </row>
    <row r="52" spans="1:5">
      <c r="B52" s="106" t="s">
        <v>381</v>
      </c>
      <c r="C52" s="109">
        <v>45</v>
      </c>
      <c r="D52" s="112">
        <f t="shared" si="2"/>
        <v>1</v>
      </c>
      <c r="E52" s="112"/>
    </row>
    <row r="56" spans="1:5">
      <c r="A56" s="19" t="s">
        <v>240</v>
      </c>
      <c r="B56" s="107">
        <v>17</v>
      </c>
      <c r="C56" s="112">
        <f t="shared" ref="C56:C61" si="3">B56/45</f>
        <v>0.37777777777777777</v>
      </c>
    </row>
    <row r="57" spans="1:5">
      <c r="A57" s="19" t="s">
        <v>326</v>
      </c>
      <c r="B57" s="107">
        <v>13</v>
      </c>
      <c r="C57" s="112">
        <f t="shared" si="3"/>
        <v>0.28888888888888886</v>
      </c>
    </row>
    <row r="58" spans="1:5" ht="30">
      <c r="A58" s="115" t="s">
        <v>324</v>
      </c>
      <c r="B58" s="107">
        <v>9</v>
      </c>
      <c r="C58" s="112">
        <f t="shared" si="3"/>
        <v>0.2</v>
      </c>
    </row>
    <row r="59" spans="1:5">
      <c r="A59" s="19" t="s">
        <v>277</v>
      </c>
      <c r="B59" s="107">
        <v>4</v>
      </c>
      <c r="C59" s="112">
        <f t="shared" si="3"/>
        <v>8.8888888888888892E-2</v>
      </c>
    </row>
    <row r="60" spans="1:5">
      <c r="A60" s="19" t="s">
        <v>275</v>
      </c>
      <c r="B60" s="107">
        <v>1</v>
      </c>
      <c r="C60" s="112">
        <f t="shared" si="3"/>
        <v>2.2222222222222223E-2</v>
      </c>
    </row>
    <row r="61" spans="1:5">
      <c r="A61" s="19" t="s">
        <v>20</v>
      </c>
      <c r="B61" s="107">
        <v>1</v>
      </c>
      <c r="C61" s="112">
        <f t="shared" si="3"/>
        <v>2.2222222222222223E-2</v>
      </c>
    </row>
    <row r="62" spans="1:5">
      <c r="A62" s="106" t="s">
        <v>381</v>
      </c>
      <c r="B62" s="109">
        <v>45</v>
      </c>
      <c r="C62" s="112">
        <f t="shared" ref="C62" si="4">B62/45</f>
        <v>1</v>
      </c>
    </row>
    <row r="65" spans="1:6">
      <c r="A65" t="s">
        <v>406</v>
      </c>
      <c r="B65" t="s">
        <v>236</v>
      </c>
      <c r="C65" t="s">
        <v>349</v>
      </c>
      <c r="D65" t="s">
        <v>415</v>
      </c>
      <c r="E65" t="s">
        <v>414</v>
      </c>
      <c r="F65" t="s">
        <v>409</v>
      </c>
    </row>
    <row r="66" spans="1:6">
      <c r="A66" t="s">
        <v>240</v>
      </c>
      <c r="B66">
        <v>1</v>
      </c>
      <c r="C66">
        <v>7</v>
      </c>
      <c r="D66">
        <v>9</v>
      </c>
      <c r="F66">
        <v>17</v>
      </c>
    </row>
    <row r="67" spans="1:6">
      <c r="A67" t="s">
        <v>326</v>
      </c>
      <c r="B67">
        <v>1</v>
      </c>
      <c r="C67">
        <v>6</v>
      </c>
      <c r="D67">
        <v>6</v>
      </c>
      <c r="F67">
        <v>13</v>
      </c>
    </row>
    <row r="68" spans="1:6">
      <c r="A68" t="s">
        <v>324</v>
      </c>
      <c r="C68">
        <v>9</v>
      </c>
      <c r="F68">
        <v>9</v>
      </c>
    </row>
    <row r="69" spans="1:6">
      <c r="A69" t="s">
        <v>408</v>
      </c>
      <c r="E69">
        <v>4</v>
      </c>
      <c r="F69">
        <v>4</v>
      </c>
    </row>
    <row r="70" spans="1:6">
      <c r="A70" t="s">
        <v>407</v>
      </c>
      <c r="D70">
        <v>1</v>
      </c>
      <c r="F70">
        <v>1</v>
      </c>
    </row>
    <row r="71" spans="1:6">
      <c r="A71" t="s">
        <v>20</v>
      </c>
      <c r="C71">
        <v>1</v>
      </c>
      <c r="F71">
        <v>1</v>
      </c>
    </row>
    <row r="72" spans="1:6">
      <c r="A72" t="s">
        <v>409</v>
      </c>
      <c r="B72">
        <v>2</v>
      </c>
      <c r="C72">
        <v>23</v>
      </c>
      <c r="D72">
        <v>16</v>
      </c>
      <c r="E72">
        <v>4</v>
      </c>
      <c r="F72">
        <v>45</v>
      </c>
    </row>
    <row r="75" spans="1:6">
      <c r="A75" t="s">
        <v>380</v>
      </c>
      <c r="B75" t="s">
        <v>236</v>
      </c>
      <c r="C75" t="s">
        <v>349</v>
      </c>
      <c r="D75" t="s">
        <v>415</v>
      </c>
      <c r="E75" t="s">
        <v>414</v>
      </c>
      <c r="F75" t="s">
        <v>381</v>
      </c>
    </row>
    <row r="76" spans="1:6">
      <c r="A76" t="s">
        <v>411</v>
      </c>
      <c r="C76">
        <v>5</v>
      </c>
      <c r="D76">
        <v>6</v>
      </c>
      <c r="F76">
        <v>11</v>
      </c>
    </row>
    <row r="77" spans="1:6">
      <c r="A77" t="s">
        <v>241</v>
      </c>
      <c r="C77">
        <v>8</v>
      </c>
      <c r="F77">
        <v>8</v>
      </c>
    </row>
    <row r="78" spans="1:6">
      <c r="A78" t="s">
        <v>115</v>
      </c>
      <c r="C78">
        <v>6</v>
      </c>
      <c r="D78">
        <v>1</v>
      </c>
      <c r="F78">
        <v>7</v>
      </c>
    </row>
    <row r="79" spans="1:6">
      <c r="A79" t="s">
        <v>243</v>
      </c>
      <c r="C79">
        <v>1</v>
      </c>
      <c r="D79">
        <v>4</v>
      </c>
      <c r="F79">
        <v>5</v>
      </c>
    </row>
    <row r="80" spans="1:6">
      <c r="A80" t="s">
        <v>276</v>
      </c>
      <c r="E80">
        <v>4</v>
      </c>
      <c r="F80">
        <v>4</v>
      </c>
    </row>
    <row r="81" spans="1:6">
      <c r="A81" t="s">
        <v>251</v>
      </c>
      <c r="B81">
        <v>1</v>
      </c>
      <c r="D81">
        <v>2</v>
      </c>
      <c r="F81">
        <v>3</v>
      </c>
    </row>
    <row r="82" spans="1:6">
      <c r="A82" t="s">
        <v>329</v>
      </c>
      <c r="C82">
        <v>1</v>
      </c>
      <c r="F82">
        <v>1</v>
      </c>
    </row>
    <row r="83" spans="1:6" ht="13.5" customHeight="1">
      <c r="A83" t="s">
        <v>19</v>
      </c>
      <c r="C83">
        <v>1</v>
      </c>
      <c r="F83">
        <v>1</v>
      </c>
    </row>
    <row r="84" spans="1:6">
      <c r="A84" t="s">
        <v>273</v>
      </c>
      <c r="B84">
        <v>1</v>
      </c>
      <c r="F84">
        <v>1</v>
      </c>
    </row>
    <row r="85" spans="1:6" ht="30">
      <c r="A85" s="116" t="s">
        <v>410</v>
      </c>
      <c r="C85">
        <v>1</v>
      </c>
      <c r="F85">
        <v>1</v>
      </c>
    </row>
    <row r="86" spans="1:6">
      <c r="A86" t="s">
        <v>280</v>
      </c>
      <c r="D86">
        <v>1</v>
      </c>
      <c r="F86">
        <v>1</v>
      </c>
    </row>
    <row r="87" spans="1:6">
      <c r="A87" t="s">
        <v>350</v>
      </c>
      <c r="D87">
        <v>1</v>
      </c>
      <c r="F87">
        <v>1</v>
      </c>
    </row>
    <row r="88" spans="1:6">
      <c r="A88" t="s">
        <v>355</v>
      </c>
      <c r="D88">
        <v>1</v>
      </c>
      <c r="F88">
        <v>1</v>
      </c>
    </row>
    <row r="89" spans="1:6">
      <c r="A89" t="s">
        <v>381</v>
      </c>
      <c r="B89">
        <v>2</v>
      </c>
      <c r="C89">
        <v>23</v>
      </c>
      <c r="D89">
        <v>16</v>
      </c>
      <c r="E89">
        <v>4</v>
      </c>
      <c r="F89">
        <v>45</v>
      </c>
    </row>
    <row r="93" spans="1:6">
      <c r="A93" s="108" t="s">
        <v>380</v>
      </c>
      <c r="B93" s="108" t="s">
        <v>381</v>
      </c>
    </row>
    <row r="94" spans="1:6">
      <c r="A94" s="19" t="s">
        <v>404</v>
      </c>
      <c r="B94" s="107">
        <v>23</v>
      </c>
      <c r="C94" s="112">
        <f>B94/45</f>
        <v>0.51111111111111107</v>
      </c>
    </row>
    <row r="95" spans="1:6">
      <c r="A95" s="19" t="s">
        <v>256</v>
      </c>
      <c r="B95" s="107">
        <v>20</v>
      </c>
      <c r="C95" s="112">
        <f>B95/45</f>
        <v>0.44444444444444442</v>
      </c>
    </row>
    <row r="96" spans="1:6">
      <c r="A96" s="19" t="s">
        <v>237</v>
      </c>
      <c r="B96" s="107">
        <v>2</v>
      </c>
      <c r="C96" s="112">
        <f>B96/45</f>
        <v>4.4444444444444446E-2</v>
      </c>
    </row>
    <row r="97" spans="1:3">
      <c r="A97" s="106" t="s">
        <v>381</v>
      </c>
      <c r="B97" s="109">
        <v>45</v>
      </c>
      <c r="C97" s="112">
        <f t="shared" ref="C97" si="5">B97/45</f>
        <v>1</v>
      </c>
    </row>
  </sheetData>
  <sortState ref="A94:C96">
    <sortCondition descending="1" ref="B94:B96"/>
  </sortState>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34"/>
  <sheetViews>
    <sheetView zoomScale="130" zoomScaleNormal="130" workbookViewId="0">
      <selection activeCell="A29" sqref="A29"/>
    </sheetView>
  </sheetViews>
  <sheetFormatPr defaultRowHeight="15"/>
  <cols>
    <col min="1" max="1" width="83.140625" bestFit="1" customWidth="1"/>
    <col min="2" max="2" width="13.140625" customWidth="1"/>
  </cols>
  <sheetData>
    <row r="2" spans="1:2">
      <c r="A2" s="24" t="s">
        <v>103</v>
      </c>
    </row>
    <row r="3" spans="1:2" ht="20.25" customHeight="1">
      <c r="A3" s="42" t="s">
        <v>191</v>
      </c>
      <c r="B3" s="12"/>
    </row>
    <row r="4" spans="1:2">
      <c r="A4" s="23" t="s">
        <v>105</v>
      </c>
      <c r="B4" s="12"/>
    </row>
    <row r="5" spans="1:2">
      <c r="A5" s="42" t="s">
        <v>192</v>
      </c>
      <c r="B5" s="12"/>
    </row>
    <row r="6" spans="1:2">
      <c r="A6" s="42" t="s">
        <v>193</v>
      </c>
      <c r="B6" s="12"/>
    </row>
    <row r="7" spans="1:2">
      <c r="A7" s="42" t="s">
        <v>194</v>
      </c>
      <c r="B7" s="12"/>
    </row>
    <row r="8" spans="1:2">
      <c r="A8" s="23" t="s">
        <v>106</v>
      </c>
      <c r="B8" s="12"/>
    </row>
    <row r="9" spans="1:2">
      <c r="A9" s="23" t="s">
        <v>107</v>
      </c>
      <c r="B9" s="12"/>
    </row>
    <row r="10" spans="1:2">
      <c r="A10" s="23" t="s">
        <v>104</v>
      </c>
      <c r="B10" s="12"/>
    </row>
    <row r="11" spans="1:2">
      <c r="A11" s="42" t="s">
        <v>195</v>
      </c>
      <c r="B11" s="12"/>
    </row>
    <row r="12" spans="1:2">
      <c r="A12" s="23" t="s">
        <v>22</v>
      </c>
      <c r="B12" s="12"/>
    </row>
    <row r="13" spans="1:2">
      <c r="A13" s="40" t="s">
        <v>196</v>
      </c>
      <c r="B13" s="12"/>
    </row>
    <row r="14" spans="1:2">
      <c r="A14" s="40" t="s">
        <v>197</v>
      </c>
    </row>
    <row r="15" spans="1:2">
      <c r="A15" s="22" t="s">
        <v>109</v>
      </c>
    </row>
    <row r="16" spans="1:2">
      <c r="A16" s="22" t="s">
        <v>108</v>
      </c>
    </row>
    <row r="17" spans="1:1">
      <c r="A17" t="s">
        <v>110</v>
      </c>
    </row>
    <row r="18" spans="1:1">
      <c r="A18" s="41" t="s">
        <v>198</v>
      </c>
    </row>
    <row r="19" spans="1:1">
      <c r="A19" s="22" t="s">
        <v>115</v>
      </c>
    </row>
    <row r="20" spans="1:1">
      <c r="A20" s="43" t="s">
        <v>19</v>
      </c>
    </row>
    <row r="21" spans="1:1">
      <c r="A21" s="43" t="s">
        <v>199</v>
      </c>
    </row>
    <row r="22" spans="1:1">
      <c r="A22" s="43" t="s">
        <v>200</v>
      </c>
    </row>
    <row r="23" spans="1:1">
      <c r="A23" s="41" t="s">
        <v>201</v>
      </c>
    </row>
    <row r="24" spans="1:1">
      <c r="A24" s="40" t="s">
        <v>183</v>
      </c>
    </row>
    <row r="25" spans="1:1">
      <c r="A25" s="40" t="s">
        <v>18</v>
      </c>
    </row>
    <row r="26" spans="1:1">
      <c r="A26" s="40" t="s">
        <v>202</v>
      </c>
    </row>
    <row r="27" spans="1:1">
      <c r="A27" s="40" t="s">
        <v>116</v>
      </c>
    </row>
    <row r="28" spans="1:1">
      <c r="A28" s="40" t="s">
        <v>17</v>
      </c>
    </row>
    <row r="29" spans="1:1">
      <c r="A29" s="22" t="s">
        <v>16</v>
      </c>
    </row>
    <row r="30" spans="1:1">
      <c r="A30" t="s">
        <v>111</v>
      </c>
    </row>
    <row r="31" spans="1:1">
      <c r="A31" t="s">
        <v>112</v>
      </c>
    </row>
    <row r="32" spans="1:1">
      <c r="A32" t="s">
        <v>113</v>
      </c>
    </row>
    <row r="33" spans="1:1">
      <c r="A33" t="s">
        <v>114</v>
      </c>
    </row>
    <row r="34" spans="1:1">
      <c r="A34" t="s">
        <v>117</v>
      </c>
    </row>
  </sheetData>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2"/>
  <sheetViews>
    <sheetView workbookViewId="0">
      <selection activeCell="B51" sqref="B51"/>
    </sheetView>
  </sheetViews>
  <sheetFormatPr defaultRowHeight="15"/>
  <cols>
    <col min="1" max="1" width="107.42578125" customWidth="1"/>
    <col min="2" max="2" width="36.85546875" customWidth="1"/>
    <col min="3" max="3" width="37.7109375" customWidth="1"/>
    <col min="4" max="4" width="35.42578125" customWidth="1"/>
    <col min="8" max="8" width="27" customWidth="1"/>
  </cols>
  <sheetData>
    <row r="1" spans="1:1">
      <c r="A1" s="22" t="s">
        <v>15</v>
      </c>
    </row>
    <row r="2" spans="1:1">
      <c r="A2" s="22" t="s">
        <v>118</v>
      </c>
    </row>
    <row r="3" spans="1:1">
      <c r="A3" s="40" t="s">
        <v>203</v>
      </c>
    </row>
    <row r="4" spans="1:1">
      <c r="A4" s="22" t="s">
        <v>119</v>
      </c>
    </row>
    <row r="5" spans="1:1">
      <c r="A5" s="22" t="s">
        <v>120</v>
      </c>
    </row>
    <row r="6" spans="1:1">
      <c r="A6" s="22" t="s">
        <v>121</v>
      </c>
    </row>
    <row r="7" spans="1:1">
      <c r="A7" s="22" t="s">
        <v>122</v>
      </c>
    </row>
    <row r="8" spans="1:1">
      <c r="A8" s="22" t="s">
        <v>123</v>
      </c>
    </row>
    <row r="9" spans="1:1">
      <c r="A9" s="22" t="s">
        <v>124</v>
      </c>
    </row>
    <row r="10" spans="1:1">
      <c r="A10" s="22" t="s">
        <v>125</v>
      </c>
    </row>
    <row r="11" spans="1:1">
      <c r="A11" s="22" t="s">
        <v>126</v>
      </c>
    </row>
    <row r="12" spans="1:1">
      <c r="A12" s="40" t="s">
        <v>184</v>
      </c>
    </row>
    <row r="13" spans="1:1">
      <c r="A13" s="40" t="s">
        <v>128</v>
      </c>
    </row>
    <row r="14" spans="1:1">
      <c r="A14" s="37" t="s">
        <v>144</v>
      </c>
    </row>
    <row r="15" spans="1:1">
      <c r="A15" s="37" t="s">
        <v>142</v>
      </c>
    </row>
    <row r="16" spans="1:1">
      <c r="A16" s="37" t="s">
        <v>143</v>
      </c>
    </row>
    <row r="17" spans="1:1">
      <c r="A17" s="25" t="s">
        <v>127</v>
      </c>
    </row>
    <row r="18" spans="1:1">
      <c r="A18" s="37" t="s">
        <v>129</v>
      </c>
    </row>
    <row r="19" spans="1:1">
      <c r="A19" s="37" t="s">
        <v>130</v>
      </c>
    </row>
    <row r="20" spans="1:1">
      <c r="A20" s="37" t="s">
        <v>131</v>
      </c>
    </row>
    <row r="21" spans="1:1">
      <c r="A21" s="37" t="s">
        <v>132</v>
      </c>
    </row>
    <row r="22" spans="1:1">
      <c r="A22" s="22" t="s">
        <v>9</v>
      </c>
    </row>
    <row r="23" spans="1:1" ht="15.75">
      <c r="A23" s="26" t="s">
        <v>133</v>
      </c>
    </row>
    <row r="24" spans="1:1" ht="15.75">
      <c r="A24" s="26" t="s">
        <v>134</v>
      </c>
    </row>
    <row r="25" spans="1:1" ht="15.75">
      <c r="A25" s="26" t="s">
        <v>135</v>
      </c>
    </row>
    <row r="26" spans="1:1" ht="15.75">
      <c r="A26" s="26" t="s">
        <v>136</v>
      </c>
    </row>
    <row r="27" spans="1:1" ht="15.75">
      <c r="A27" s="26" t="s">
        <v>137</v>
      </c>
    </row>
    <row r="28" spans="1:1" ht="15.75">
      <c r="A28" s="26" t="s">
        <v>138</v>
      </c>
    </row>
    <row r="29" spans="1:1" ht="15.75">
      <c r="A29" s="26" t="s">
        <v>139</v>
      </c>
    </row>
    <row r="30" spans="1:1" ht="15.75">
      <c r="A30" s="26" t="s">
        <v>140</v>
      </c>
    </row>
    <row r="31" spans="1:1" ht="15.75">
      <c r="A31" s="26" t="s">
        <v>141</v>
      </c>
    </row>
    <row r="32" spans="1:1">
      <c r="A32" s="29" t="s">
        <v>14</v>
      </c>
    </row>
    <row r="33" spans="1:1">
      <c r="A33" s="29" t="s">
        <v>13</v>
      </c>
    </row>
    <row r="34" spans="1:1">
      <c r="A34" s="29" t="s">
        <v>12</v>
      </c>
    </row>
    <row r="35" spans="1:1">
      <c r="A35" s="27" t="s">
        <v>11</v>
      </c>
    </row>
    <row r="36" spans="1:1">
      <c r="A36" s="27" t="s">
        <v>10</v>
      </c>
    </row>
    <row r="37" spans="1:1">
      <c r="A37" s="44" t="s">
        <v>204</v>
      </c>
    </row>
    <row r="38" spans="1:1">
      <c r="A38" s="27" t="s">
        <v>8</v>
      </c>
    </row>
    <row r="39" spans="1:1">
      <c r="A39" s="27" t="s">
        <v>7</v>
      </c>
    </row>
    <row r="40" spans="1:1">
      <c r="A40" s="27" t="s">
        <v>6</v>
      </c>
    </row>
    <row r="41" spans="1:1" ht="19.5">
      <c r="A41" s="28"/>
    </row>
    <row r="42" spans="1:1" ht="19.5">
      <c r="A42" s="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A19" sqref="A19"/>
    </sheetView>
  </sheetViews>
  <sheetFormatPr defaultRowHeight="15"/>
  <cols>
    <col min="1" max="1" width="82.85546875" bestFit="1" customWidth="1"/>
    <col min="4" max="4" width="66.28515625" customWidth="1"/>
  </cols>
  <sheetData>
    <row r="1" spans="1:4" ht="21.75">
      <c r="A1" s="18" t="s">
        <v>39</v>
      </c>
    </row>
    <row r="2" spans="1:4" ht="21.75">
      <c r="A2" s="17" t="s">
        <v>152</v>
      </c>
      <c r="D2" s="13"/>
    </row>
    <row r="3" spans="1:4" ht="21.75">
      <c r="A3" s="17" t="s">
        <v>145</v>
      </c>
      <c r="D3" s="13"/>
    </row>
    <row r="4" spans="1:4" ht="21.75">
      <c r="A4" s="17" t="s">
        <v>146</v>
      </c>
      <c r="D4" s="13"/>
    </row>
    <row r="5" spans="1:4" ht="21.75">
      <c r="A5" s="17" t="s">
        <v>147</v>
      </c>
      <c r="D5" s="13"/>
    </row>
    <row r="6" spans="1:4" ht="21.75">
      <c r="A6" s="17" t="s">
        <v>148</v>
      </c>
      <c r="D6" s="13"/>
    </row>
    <row r="7" spans="1:4" ht="21.75">
      <c r="A7" s="17" t="s">
        <v>67</v>
      </c>
      <c r="D7" s="13"/>
    </row>
    <row r="8" spans="1:4" ht="21.75">
      <c r="A8" s="17" t="s">
        <v>149</v>
      </c>
      <c r="D8" s="13"/>
    </row>
    <row r="9" spans="1:4" ht="21.75">
      <c r="A9" s="17" t="s">
        <v>150</v>
      </c>
      <c r="D9" s="13"/>
    </row>
    <row r="10" spans="1:4" ht="21.75">
      <c r="A10" s="5" t="s">
        <v>151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election activeCell="A9" sqref="A9"/>
    </sheetView>
  </sheetViews>
  <sheetFormatPr defaultRowHeight="15"/>
  <cols>
    <col min="1" max="1" width="76.7109375" bestFit="1" customWidth="1"/>
    <col min="4" max="4" width="24.140625" bestFit="1" customWidth="1"/>
  </cols>
  <sheetData>
    <row r="1" spans="1:4" ht="30">
      <c r="A1" s="32" t="s">
        <v>1</v>
      </c>
    </row>
    <row r="2" spans="1:4" ht="30">
      <c r="A2" s="33" t="s">
        <v>155</v>
      </c>
      <c r="D2" s="19"/>
    </row>
    <row r="3" spans="1:4" ht="27.75">
      <c r="A3" s="34" t="s">
        <v>153</v>
      </c>
      <c r="D3" s="19"/>
    </row>
    <row r="4" spans="1:4" ht="27.75">
      <c r="A4" s="34" t="s">
        <v>154</v>
      </c>
      <c r="D4" s="19"/>
    </row>
    <row r="5" spans="1:4" ht="27.75">
      <c r="A5" s="34" t="s">
        <v>42</v>
      </c>
      <c r="D5" s="19"/>
    </row>
    <row r="6" spans="1:4" ht="27.75">
      <c r="A6" s="35" t="s">
        <v>43</v>
      </c>
      <c r="D6" s="19"/>
    </row>
    <row r="7" spans="1:4" ht="27.75">
      <c r="A7" s="35" t="s">
        <v>44</v>
      </c>
      <c r="D7" s="19"/>
    </row>
    <row r="8" spans="1:4" ht="27.75">
      <c r="A8" s="36" t="s">
        <v>156</v>
      </c>
    </row>
    <row r="9" spans="1:4">
      <c r="A9" s="38" t="s">
        <v>186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4"/>
  <sheetViews>
    <sheetView workbookViewId="0">
      <selection activeCell="A24" sqref="A24"/>
    </sheetView>
  </sheetViews>
  <sheetFormatPr defaultRowHeight="15"/>
  <cols>
    <col min="1" max="1" width="55" customWidth="1"/>
  </cols>
  <sheetData>
    <row r="1" spans="1:1">
      <c r="A1" s="30" t="s">
        <v>157</v>
      </c>
    </row>
    <row r="2" spans="1:1">
      <c r="A2" t="s">
        <v>158</v>
      </c>
    </row>
    <row r="3" spans="1:1">
      <c r="A3" t="s">
        <v>159</v>
      </c>
    </row>
    <row r="4" spans="1:1">
      <c r="A4" s="20" t="s">
        <v>160</v>
      </c>
    </row>
    <row r="5" spans="1:1">
      <c r="A5" t="s">
        <v>161</v>
      </c>
    </row>
    <row r="6" spans="1:1">
      <c r="A6" s="20" t="s">
        <v>166</v>
      </c>
    </row>
    <row r="7" spans="1:1">
      <c r="A7" s="31" t="s">
        <v>162</v>
      </c>
    </row>
    <row r="8" spans="1:1">
      <c r="A8" s="31" t="s">
        <v>163</v>
      </c>
    </row>
    <row r="9" spans="1:1" ht="21" customHeight="1">
      <c r="A9" s="31" t="s">
        <v>180</v>
      </c>
    </row>
    <row r="10" spans="1:1">
      <c r="A10" s="31" t="s">
        <v>164</v>
      </c>
    </row>
    <row r="11" spans="1:1">
      <c r="A11" s="31" t="s">
        <v>165</v>
      </c>
    </row>
    <row r="12" spans="1:1">
      <c r="A12" s="31" t="s">
        <v>179</v>
      </c>
    </row>
    <row r="13" spans="1:1">
      <c r="A13" s="31" t="s">
        <v>167</v>
      </c>
    </row>
    <row r="14" spans="1:1">
      <c r="A14" s="31" t="s">
        <v>168</v>
      </c>
    </row>
    <row r="15" spans="1:1" ht="17.25" customHeight="1">
      <c r="A15" s="45" t="s">
        <v>178</v>
      </c>
    </row>
    <row r="16" spans="1:1">
      <c r="A16" s="31" t="s">
        <v>169</v>
      </c>
    </row>
    <row r="17" spans="1:1">
      <c r="A17" s="27" t="s">
        <v>170</v>
      </c>
    </row>
    <row r="18" spans="1:1">
      <c r="A18" s="31" t="s">
        <v>171</v>
      </c>
    </row>
    <row r="19" spans="1:1">
      <c r="A19" s="31" t="s">
        <v>175</v>
      </c>
    </row>
    <row r="20" spans="1:1">
      <c r="A20" s="31" t="s">
        <v>176</v>
      </c>
    </row>
    <row r="21" spans="1:1">
      <c r="A21" s="31" t="s">
        <v>172</v>
      </c>
    </row>
    <row r="22" spans="1:1">
      <c r="A22" s="31" t="s">
        <v>173</v>
      </c>
    </row>
    <row r="23" spans="1:1">
      <c r="A23" s="31" t="s">
        <v>174</v>
      </c>
    </row>
    <row r="24" spans="1:1">
      <c r="A24" s="27" t="s">
        <v>177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Medication Error</vt:lpstr>
      <vt:lpstr>Route Of Administration</vt:lpstr>
      <vt:lpstr>Dosage Form</vt:lpstr>
      <vt:lpstr>Medication Error Cycle </vt:lpstr>
      <vt:lpstr>Duty</vt:lpstr>
      <vt:lpstr>Nursing Unit</vt:lpstr>
      <vt:lpstr>Job title</vt:lpstr>
      <vt:lpstr>Drug Class</vt:lpstr>
      <vt:lpstr>Sheet2</vt:lpstr>
      <vt:lpstr>Type of Error</vt:lpstr>
      <vt:lpstr>Causes Of Medication Errors</vt:lpstr>
      <vt:lpstr>Drug Error Category</vt:lpstr>
      <vt:lpstr>Way error detected</vt:lpstr>
      <vt:lpstr>Action taken</vt:lpstr>
      <vt:lpstr>'Medication Error'!Print_Titles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qualitytemp</dc:creator>
  <cp:lastModifiedBy>qualitytemp</cp:lastModifiedBy>
  <cp:lastPrinted>2025-12-04T10:57:07Z</cp:lastPrinted>
  <dcterms:created xsi:type="dcterms:W3CDTF">2023-11-30T11:23:48Z</dcterms:created>
  <dcterms:modified xsi:type="dcterms:W3CDTF">2026-02-09T08:49:11Z</dcterms:modified>
</cp:coreProperties>
</file>